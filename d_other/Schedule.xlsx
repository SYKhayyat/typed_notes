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l\Documents\1\"/>
    </mc:Choice>
  </mc:AlternateContent>
  <xr:revisionPtr revIDLastSave="0" documentId="13_ncr:1_{167C9230-7DC7-4D34-92DA-242D5BD63CF6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Sheet1" sheetId="1" r:id="rId1"/>
    <sheet name="Sheet3" sheetId="2" r:id="rId2"/>
    <sheet name="Sheet2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7" i="4" l="1"/>
  <c r="E35" i="4"/>
  <c r="F30" i="4"/>
  <c r="F29" i="4"/>
  <c r="E14" i="4"/>
  <c r="E21" i="4"/>
  <c r="D35" i="4"/>
  <c r="F34" i="4"/>
  <c r="F33" i="4"/>
  <c r="F32" i="4"/>
  <c r="F31" i="4"/>
  <c r="E28" i="4"/>
  <c r="D28" i="4"/>
  <c r="F27" i="4"/>
  <c r="F26" i="4"/>
  <c r="F25" i="4"/>
  <c r="F24" i="4"/>
  <c r="F23" i="4"/>
  <c r="F22" i="4"/>
  <c r="D21" i="4"/>
  <c r="F20" i="4"/>
  <c r="F19" i="4"/>
  <c r="F18" i="4"/>
  <c r="F17" i="4"/>
  <c r="F16" i="4"/>
  <c r="F15" i="4"/>
  <c r="D14" i="4"/>
  <c r="F13" i="4"/>
  <c r="F12" i="4"/>
  <c r="F11" i="4"/>
  <c r="F10" i="4"/>
  <c r="F9" i="4"/>
  <c r="F8" i="4"/>
  <c r="D7" i="4"/>
  <c r="F6" i="4"/>
  <c r="F5" i="4"/>
  <c r="F4" i="4"/>
  <c r="F3" i="4"/>
  <c r="F2" i="4"/>
  <c r="F1" i="4"/>
  <c r="C44" i="3"/>
  <c r="A43" i="3"/>
  <c r="A44" i="3" s="1"/>
  <c r="C42" i="3"/>
  <c r="A41" i="3"/>
  <c r="A40" i="3"/>
  <c r="A39" i="3"/>
  <c r="A38" i="3"/>
  <c r="A37" i="3"/>
  <c r="A36" i="3"/>
  <c r="A35" i="3"/>
  <c r="A34" i="3"/>
  <c r="A33" i="3"/>
  <c r="C32" i="3"/>
  <c r="A31" i="3"/>
  <c r="A30" i="3"/>
  <c r="A29" i="3"/>
  <c r="A28" i="3"/>
  <c r="A27" i="3"/>
  <c r="A26" i="3"/>
  <c r="A25" i="3"/>
  <c r="A24" i="3"/>
  <c r="C23" i="3"/>
  <c r="A22" i="3"/>
  <c r="A21" i="3"/>
  <c r="A20" i="3"/>
  <c r="A19" i="3"/>
  <c r="A18" i="3"/>
  <c r="A17" i="3"/>
  <c r="A16" i="3"/>
  <c r="C15" i="3"/>
  <c r="A14" i="3"/>
  <c r="A13" i="3"/>
  <c r="A12" i="3"/>
  <c r="A11" i="3"/>
  <c r="A10" i="3"/>
  <c r="A9" i="3"/>
  <c r="A8" i="3"/>
  <c r="A7" i="3"/>
  <c r="A6" i="3"/>
  <c r="A5" i="3"/>
  <c r="A4" i="3"/>
  <c r="C3" i="3"/>
  <c r="C45" i="3" s="1"/>
  <c r="B3" i="3"/>
  <c r="A2" i="3"/>
  <c r="O46" i="2"/>
  <c r="N46" i="2"/>
  <c r="M46" i="2" s="1"/>
  <c r="C46" i="2"/>
  <c r="A46" i="2" s="1"/>
  <c r="B46" i="2"/>
  <c r="M45" i="2"/>
  <c r="A45" i="2"/>
  <c r="O44" i="2"/>
  <c r="C44" i="2"/>
  <c r="M43" i="2"/>
  <c r="A43" i="2"/>
  <c r="M42" i="2"/>
  <c r="A42" i="2"/>
  <c r="M41" i="2"/>
  <c r="A41" i="2"/>
  <c r="M40" i="2"/>
  <c r="A40" i="2"/>
  <c r="M39" i="2"/>
  <c r="A39" i="2"/>
  <c r="M38" i="2"/>
  <c r="A38" i="2"/>
  <c r="M37" i="2"/>
  <c r="M44" i="2" s="1"/>
  <c r="N44" i="2" s="1"/>
  <c r="A37" i="2"/>
  <c r="M36" i="2"/>
  <c r="A36" i="2"/>
  <c r="A44" i="2" s="1"/>
  <c r="O35" i="2"/>
  <c r="C35" i="2"/>
  <c r="C47" i="2" s="1"/>
  <c r="M34" i="2"/>
  <c r="A34" i="2"/>
  <c r="M33" i="2"/>
  <c r="A33" i="2"/>
  <c r="M32" i="2"/>
  <c r="A32" i="2"/>
  <c r="M31" i="2"/>
  <c r="A31" i="2"/>
  <c r="A35" i="2" s="1"/>
  <c r="M30" i="2"/>
  <c r="A30" i="2"/>
  <c r="M29" i="2"/>
  <c r="A29" i="2"/>
  <c r="M28" i="2"/>
  <c r="M35" i="2" s="1"/>
  <c r="N35" i="2" s="1"/>
  <c r="A28" i="2"/>
  <c r="O27" i="2"/>
  <c r="C27" i="2"/>
  <c r="M26" i="2"/>
  <c r="A26" i="2"/>
  <c r="M25" i="2"/>
  <c r="A25" i="2"/>
  <c r="M24" i="2"/>
  <c r="A24" i="2"/>
  <c r="M23" i="2"/>
  <c r="A23" i="2"/>
  <c r="M22" i="2"/>
  <c r="A22" i="2"/>
  <c r="M21" i="2"/>
  <c r="A21" i="2"/>
  <c r="M20" i="2"/>
  <c r="A20" i="2"/>
  <c r="M19" i="2"/>
  <c r="A19" i="2"/>
  <c r="M18" i="2"/>
  <c r="A18" i="2"/>
  <c r="M17" i="2"/>
  <c r="A17" i="2"/>
  <c r="M16" i="2"/>
  <c r="A16" i="2"/>
  <c r="A27" i="2" s="1"/>
  <c r="B27" i="2" s="1"/>
  <c r="M15" i="2"/>
  <c r="M27" i="2" s="1"/>
  <c r="A15" i="2"/>
  <c r="O14" i="2"/>
  <c r="O47" i="2" s="1"/>
  <c r="C14" i="2"/>
  <c r="M13" i="2"/>
  <c r="A13" i="2"/>
  <c r="M12" i="2"/>
  <c r="A12" i="2"/>
  <c r="M11" i="2"/>
  <c r="A11" i="2"/>
  <c r="M10" i="2"/>
  <c r="A10" i="2"/>
  <c r="M9" i="2"/>
  <c r="A9" i="2"/>
  <c r="M8" i="2"/>
  <c r="A8" i="2"/>
  <c r="M7" i="2"/>
  <c r="A7" i="2"/>
  <c r="M6" i="2"/>
  <c r="A6" i="2"/>
  <c r="M5" i="2"/>
  <c r="A5" i="2"/>
  <c r="M4" i="2"/>
  <c r="M14" i="2" s="1"/>
  <c r="K27" i="2" s="1"/>
  <c r="A4" i="2"/>
  <c r="M3" i="2"/>
  <c r="A3" i="2"/>
  <c r="A14" i="2" s="1"/>
  <c r="B14" i="2" s="1"/>
  <c r="I28" i="1"/>
  <c r="H28" i="1"/>
  <c r="G28" i="1"/>
  <c r="F28" i="1"/>
  <c r="E28" i="1"/>
  <c r="D28" i="1"/>
  <c r="C28" i="1"/>
  <c r="B28" i="1"/>
  <c r="J27" i="1"/>
  <c r="I26" i="1"/>
  <c r="H25" i="1"/>
  <c r="G25" i="1"/>
  <c r="F25" i="1"/>
  <c r="E25" i="1"/>
  <c r="D25" i="1"/>
  <c r="C25" i="1"/>
  <c r="I25" i="1" s="1"/>
  <c r="B25" i="1"/>
  <c r="J24" i="1"/>
  <c r="I23" i="1"/>
  <c r="H22" i="1"/>
  <c r="G22" i="1"/>
  <c r="F22" i="1"/>
  <c r="E22" i="1"/>
  <c r="I22" i="1" s="1"/>
  <c r="D22" i="1"/>
  <c r="C22" i="1"/>
  <c r="B22" i="1"/>
  <c r="J21" i="1"/>
  <c r="I20" i="1"/>
  <c r="I19" i="1"/>
  <c r="H19" i="1"/>
  <c r="G19" i="1"/>
  <c r="F19" i="1"/>
  <c r="E19" i="1"/>
  <c r="D19" i="1"/>
  <c r="C19" i="1"/>
  <c r="B19" i="1"/>
  <c r="J18" i="1"/>
  <c r="I17" i="1"/>
  <c r="H16" i="1"/>
  <c r="G16" i="1"/>
  <c r="F16" i="1"/>
  <c r="E16" i="1"/>
  <c r="I16" i="1" s="1"/>
  <c r="D16" i="1"/>
  <c r="C16" i="1"/>
  <c r="B16" i="1"/>
  <c r="J15" i="1"/>
  <c r="I14" i="1"/>
  <c r="H13" i="1"/>
  <c r="G13" i="1"/>
  <c r="F13" i="1"/>
  <c r="E13" i="1"/>
  <c r="D13" i="1"/>
  <c r="C13" i="1"/>
  <c r="I13" i="1" s="1"/>
  <c r="B13" i="1"/>
  <c r="J12" i="1"/>
  <c r="I12" i="1"/>
  <c r="I11" i="1"/>
  <c r="H10" i="1"/>
  <c r="G10" i="1"/>
  <c r="F10" i="1"/>
  <c r="E10" i="1"/>
  <c r="D10" i="1"/>
  <c r="C10" i="1"/>
  <c r="B10" i="1"/>
  <c r="I10" i="1" s="1"/>
  <c r="I9" i="1"/>
  <c r="J9" i="1" s="1"/>
  <c r="I8" i="1"/>
  <c r="H7" i="1"/>
  <c r="G7" i="1"/>
  <c r="F7" i="1"/>
  <c r="E7" i="1"/>
  <c r="I7" i="1" s="1"/>
  <c r="D7" i="1"/>
  <c r="C7" i="1"/>
  <c r="B7" i="1"/>
  <c r="J6" i="1"/>
  <c r="I6" i="1"/>
  <c r="I5" i="1"/>
  <c r="H4" i="1"/>
  <c r="G4" i="1"/>
  <c r="F4" i="1"/>
  <c r="E4" i="1"/>
  <c r="D4" i="1"/>
  <c r="C4" i="1"/>
  <c r="B4" i="1"/>
  <c r="I4" i="1" s="1"/>
  <c r="I3" i="1"/>
  <c r="J3" i="1" s="1"/>
  <c r="I2" i="1"/>
  <c r="D36" i="4" l="1"/>
  <c r="G36" i="4" s="1"/>
  <c r="F21" i="4"/>
  <c r="F14" i="4"/>
  <c r="F35" i="4"/>
  <c r="F28" i="4"/>
  <c r="A42" i="3"/>
  <c r="B42" i="3" s="1"/>
  <c r="A32" i="3"/>
  <c r="B32" i="3" s="1"/>
  <c r="A23" i="3"/>
  <c r="B23" i="3" s="1"/>
  <c r="A15" i="3"/>
  <c r="B15" i="3" s="1"/>
  <c r="M47" i="2"/>
  <c r="N27" i="2"/>
  <c r="B44" i="3"/>
  <c r="A47" i="2"/>
  <c r="B44" i="2"/>
  <c r="K28" i="2"/>
  <c r="K29" i="2" s="1"/>
  <c r="J27" i="2"/>
  <c r="J28" i="2" s="1"/>
  <c r="I27" i="2"/>
  <c r="I28" i="2" s="1"/>
  <c r="H27" i="2"/>
  <c r="H28" i="2" s="1"/>
  <c r="N47" i="2"/>
  <c r="N14" i="2"/>
  <c r="B35" i="2"/>
  <c r="A3" i="3"/>
  <c r="A45" i="3" l="1"/>
  <c r="H29" i="2"/>
  <c r="H30" i="2"/>
  <c r="J30" i="2"/>
  <c r="J29" i="2"/>
  <c r="I8" i="2"/>
  <c r="I2" i="2"/>
  <c r="B47" i="2"/>
  <c r="I14" i="2"/>
  <c r="I20" i="2"/>
  <c r="I29" i="2"/>
  <c r="I30" i="2"/>
  <c r="B48" i="3" l="1"/>
  <c r="B45" i="3"/>
  <c r="B47" i="3" s="1"/>
  <c r="I2" i="3"/>
  <c r="F2" i="3" s="1"/>
  <c r="F4" i="3" s="1"/>
  <c r="I16" i="3"/>
  <c r="F16" i="3" s="1"/>
  <c r="F17" i="3" s="1"/>
  <c r="F18" i="3" s="1"/>
  <c r="F19" i="3" s="1"/>
  <c r="I15" i="2"/>
  <c r="H14" i="2"/>
  <c r="H15" i="2" s="1"/>
  <c r="I16" i="2"/>
  <c r="G14" i="2"/>
  <c r="G15" i="2" s="1"/>
  <c r="F14" i="2"/>
  <c r="F15" i="2" s="1"/>
  <c r="I4" i="2"/>
  <c r="H2" i="2"/>
  <c r="H3" i="2" s="1"/>
  <c r="G2" i="2"/>
  <c r="G3" i="2" s="1"/>
  <c r="I3" i="2"/>
  <c r="F2" i="2"/>
  <c r="F3" i="2" s="1"/>
  <c r="H20" i="2"/>
  <c r="H21" i="2" s="1"/>
  <c r="I21" i="2"/>
  <c r="I22" i="2" s="1"/>
  <c r="G20" i="2"/>
  <c r="G21" i="2" s="1"/>
  <c r="F20" i="2"/>
  <c r="F21" i="2" s="1"/>
  <c r="F22" i="2" s="1"/>
  <c r="F23" i="2" s="1"/>
  <c r="F8" i="2"/>
  <c r="F9" i="2" s="1"/>
  <c r="F10" i="2" s="1"/>
  <c r="F11" i="2" s="1"/>
  <c r="I10" i="2"/>
  <c r="H8" i="2"/>
  <c r="H9" i="2" s="1"/>
  <c r="I9" i="2"/>
  <c r="G8" i="2"/>
  <c r="G9" i="2" s="1"/>
  <c r="I17" i="3" l="1"/>
  <c r="I18" i="3" s="1"/>
  <c r="G2" i="3"/>
  <c r="G4" i="3" s="1"/>
  <c r="G6" i="3" s="1"/>
  <c r="H2" i="3"/>
  <c r="H4" i="3" s="1"/>
  <c r="H5" i="3" s="1"/>
  <c r="G16" i="3"/>
  <c r="G17" i="3" s="1"/>
  <c r="G19" i="3" s="1"/>
  <c r="I4" i="3"/>
  <c r="I5" i="3" s="1"/>
  <c r="H16" i="3"/>
  <c r="H17" i="3" s="1"/>
  <c r="H19" i="3" s="1"/>
  <c r="G16" i="2"/>
  <c r="G17" i="2"/>
  <c r="F5" i="2"/>
  <c r="F4" i="2"/>
  <c r="G11" i="2"/>
  <c r="G10" i="2"/>
  <c r="H11" i="2"/>
  <c r="H10" i="2"/>
  <c r="H4" i="2"/>
  <c r="H5" i="2"/>
  <c r="G22" i="2"/>
  <c r="G23" i="2"/>
  <c r="F6" i="3"/>
  <c r="F5" i="3"/>
  <c r="H17" i="2"/>
  <c r="H16" i="2"/>
  <c r="H22" i="2"/>
  <c r="H23" i="2"/>
  <c r="G5" i="2"/>
  <c r="G4" i="2"/>
  <c r="F16" i="2"/>
  <c r="F17" i="2"/>
  <c r="G5" i="3" l="1"/>
  <c r="G18" i="3"/>
  <c r="H6" i="3"/>
  <c r="H18" i="3"/>
  <c r="F7" i="4"/>
  <c r="F36" i="4" s="1"/>
  <c r="E36" i="4"/>
  <c r="H36" i="4" s="1"/>
</calcChain>
</file>

<file path=xl/sharedStrings.xml><?xml version="1.0" encoding="utf-8"?>
<sst xmlns="http://schemas.openxmlformats.org/spreadsheetml/2006/main" count="338" uniqueCount="105">
  <si>
    <t>S</t>
  </si>
  <si>
    <t>M</t>
  </si>
  <si>
    <t>Tu</t>
  </si>
  <si>
    <t>W</t>
  </si>
  <si>
    <t>Th</t>
  </si>
  <si>
    <t>F</t>
  </si>
  <si>
    <t>ש</t>
  </si>
  <si>
    <t>Total</t>
  </si>
  <si>
    <t>Daily Average</t>
  </si>
  <si>
    <t>Projected</t>
  </si>
  <si>
    <t>Achieved</t>
  </si>
  <si>
    <t>NA</t>
  </si>
  <si>
    <t>Difference</t>
  </si>
  <si>
    <t>נשאר</t>
  </si>
  <si>
    <t>נגמר</t>
  </si>
  <si>
    <t>עוז והדר</t>
  </si>
  <si>
    <t>מסכתא</t>
  </si>
  <si>
    <r>
      <rPr>
        <b/>
        <sz val="10"/>
        <color rgb="FF000000"/>
        <rFont val="Noto Rashi Hebrew Medium"/>
        <charset val="177"/>
      </rPr>
      <t>ימים נשארים</t>
    </r>
    <r>
      <rPr>
        <b/>
        <sz val="10"/>
        <rFont val="Calibri"/>
        <family val="2"/>
        <charset val="1"/>
      </rPr>
      <t>:</t>
    </r>
  </si>
  <si>
    <r>
      <rPr>
        <b/>
        <sz val="10"/>
        <color rgb="FF000000"/>
        <rFont val="Noto Rashi Hebrew Medium"/>
        <charset val="177"/>
      </rPr>
      <t>דף ליום</t>
    </r>
    <r>
      <rPr>
        <b/>
        <sz val="10"/>
        <rFont val="Calibri"/>
        <family val="2"/>
        <charset val="1"/>
      </rPr>
      <t>:</t>
    </r>
  </si>
  <si>
    <r>
      <rPr>
        <b/>
        <sz val="10"/>
        <color rgb="FF000000"/>
        <rFont val="Noto Rashi Hebrew Medium"/>
        <charset val="177"/>
      </rPr>
      <t>פשוט</t>
    </r>
    <r>
      <rPr>
        <b/>
        <sz val="10"/>
        <rFont val="Calibri"/>
        <family val="2"/>
        <charset val="1"/>
      </rPr>
      <t>:</t>
    </r>
  </si>
  <si>
    <t>רגיל</t>
  </si>
  <si>
    <t>done</t>
  </si>
  <si>
    <t>ברכות</t>
  </si>
  <si>
    <t>פאה</t>
  </si>
  <si>
    <t>דמאי</t>
  </si>
  <si>
    <t>כלאים</t>
  </si>
  <si>
    <t>שביעית</t>
  </si>
  <si>
    <r>
      <rPr>
        <b/>
        <sz val="10"/>
        <color rgb="FF000000"/>
        <rFont val="Noto Rashi Hebrew Medium"/>
        <charset val="177"/>
      </rPr>
      <t>דף ליום פשוט</t>
    </r>
    <r>
      <rPr>
        <b/>
        <sz val="10"/>
        <rFont val="Calibri"/>
        <family val="2"/>
        <charset val="1"/>
      </rPr>
      <t>:</t>
    </r>
  </si>
  <si>
    <r>
      <rPr>
        <b/>
        <sz val="10"/>
        <color rgb="FF000000"/>
        <rFont val="Noto Rashi Hebrew Medium"/>
        <charset val="177"/>
      </rPr>
      <t>קשה</t>
    </r>
    <r>
      <rPr>
        <b/>
        <sz val="10"/>
        <rFont val="Calibri"/>
        <family val="2"/>
        <charset val="1"/>
      </rPr>
      <t>:</t>
    </r>
  </si>
  <si>
    <t>תרומות</t>
  </si>
  <si>
    <t>מעשרות</t>
  </si>
  <si>
    <r>
      <rPr>
        <b/>
        <sz val="10"/>
        <color rgb="FF000000"/>
        <rFont val="Noto Rashi Hebrew Medium"/>
        <charset val="177"/>
      </rPr>
      <t>דף ליום שבת</t>
    </r>
    <r>
      <rPr>
        <b/>
        <sz val="10"/>
        <rFont val="Calibri"/>
        <family val="2"/>
        <charset val="1"/>
      </rPr>
      <t>:</t>
    </r>
  </si>
  <si>
    <t>מעשר שני</t>
  </si>
  <si>
    <t>חלה</t>
  </si>
  <si>
    <t>ערלה</t>
  </si>
  <si>
    <t>בכורים</t>
  </si>
  <si>
    <t>זרעים</t>
  </si>
  <si>
    <t>שבת</t>
  </si>
  <si>
    <t>עירובין</t>
  </si>
  <si>
    <t>פסחים</t>
  </si>
  <si>
    <t>שקלים</t>
  </si>
  <si>
    <t>יומא</t>
  </si>
  <si>
    <t>סוכה</t>
  </si>
  <si>
    <t>ביצה</t>
  </si>
  <si>
    <t>ר”ה</t>
  </si>
  <si>
    <t>תענית</t>
  </si>
  <si>
    <t>מגילה</t>
  </si>
  <si>
    <t>מועד קטן</t>
  </si>
  <si>
    <t>חגיגה</t>
  </si>
  <si>
    <t>דף ליום:</t>
  </si>
  <si>
    <t>מועד</t>
  </si>
  <si>
    <t>יבמות</t>
  </si>
  <si>
    <t>כתובות</t>
  </si>
  <si>
    <t>נדרים</t>
  </si>
  <si>
    <t>נזיר</t>
  </si>
  <si>
    <t>סוטה</t>
  </si>
  <si>
    <t>גיטין</t>
  </si>
  <si>
    <t>קידושין</t>
  </si>
  <si>
    <t>נשים</t>
  </si>
  <si>
    <t>בבא קמא</t>
  </si>
  <si>
    <t>בבא מציעא</t>
  </si>
  <si>
    <t>בבא בתרא</t>
  </si>
  <si>
    <t>סנהדרין</t>
  </si>
  <si>
    <t>מכות</t>
  </si>
  <si>
    <t>שבועות</t>
  </si>
  <si>
    <t>ע”ז</t>
  </si>
  <si>
    <t>הוריות</t>
  </si>
  <si>
    <t>נזיקין</t>
  </si>
  <si>
    <t>נדה</t>
  </si>
  <si>
    <t>טהרות</t>
  </si>
  <si>
    <t>כל הש”ס</t>
  </si>
  <si>
    <r>
      <rPr>
        <b/>
        <sz val="10"/>
        <color rgb="FF000000"/>
        <rFont val="Gveret Levin AlefAlefAlef"/>
        <family val="3"/>
        <charset val="1"/>
      </rPr>
      <t>נשאר</t>
    </r>
    <r>
      <rPr>
        <b/>
        <sz val="10"/>
        <color rgb="FF000000"/>
        <rFont val="Calibri"/>
        <family val="2"/>
        <charset val="1"/>
      </rPr>
      <t>:</t>
    </r>
  </si>
  <si>
    <r>
      <rPr>
        <b/>
        <sz val="10"/>
        <color rgb="FF000000"/>
        <rFont val="Gveret Levin AlefAlefAlef"/>
        <family val="3"/>
        <charset val="1"/>
      </rPr>
      <t>כבר נלמד</t>
    </r>
    <r>
      <rPr>
        <b/>
        <sz val="10"/>
        <color rgb="FF000000"/>
        <rFont val="Calibri"/>
        <family val="2"/>
        <charset val="1"/>
      </rPr>
      <t>:</t>
    </r>
  </si>
  <si>
    <r>
      <rPr>
        <b/>
        <sz val="10"/>
        <color rgb="FF000000"/>
        <rFont val="Gveret Levin AlefAlefAlef"/>
        <family val="3"/>
        <charset val="1"/>
      </rPr>
      <t>דף</t>
    </r>
    <r>
      <rPr>
        <b/>
        <sz val="10"/>
        <color rgb="FF000000"/>
        <rFont val="Calibri"/>
        <family val="2"/>
        <charset val="1"/>
      </rPr>
      <t>:</t>
    </r>
  </si>
  <si>
    <r>
      <rPr>
        <b/>
        <sz val="10"/>
        <color rgb="FF000000"/>
        <rFont val="Gveret Levin AlefAlefAlef"/>
        <family val="3"/>
        <charset val="1"/>
      </rPr>
      <t>מסכת</t>
    </r>
    <r>
      <rPr>
        <b/>
        <sz val="10"/>
        <color rgb="FF000000"/>
        <rFont val="Calibri"/>
        <family val="2"/>
        <charset val="1"/>
      </rPr>
      <t>:</t>
    </r>
  </si>
  <si>
    <t>ראש השנה</t>
  </si>
  <si>
    <t>עבודה זרה</t>
  </si>
  <si>
    <t>זבחים</t>
  </si>
  <si>
    <t>מנחות</t>
  </si>
  <si>
    <t>חולין</t>
  </si>
  <si>
    <t>בכורות</t>
  </si>
  <si>
    <t>ערכין</t>
  </si>
  <si>
    <t>תמורה</t>
  </si>
  <si>
    <t>כריתות</t>
  </si>
  <si>
    <t>מעילה</t>
  </si>
  <si>
    <t>תמיד</t>
  </si>
  <si>
    <t>קדשים</t>
  </si>
  <si>
    <t>כל הש"ס</t>
  </si>
  <si>
    <t>Percent done:</t>
  </si>
  <si>
    <t>Percent left:</t>
  </si>
  <si>
    <t>Week 1</t>
  </si>
  <si>
    <t>Sunday</t>
  </si>
  <si>
    <t>Morning</t>
  </si>
  <si>
    <t>First</t>
  </si>
  <si>
    <t>Break</t>
  </si>
  <si>
    <t>Second</t>
  </si>
  <si>
    <t>Night</t>
  </si>
  <si>
    <t>Mariv</t>
  </si>
  <si>
    <t>Monday</t>
  </si>
  <si>
    <t>Tuesday</t>
  </si>
  <si>
    <t>Wednesday</t>
  </si>
  <si>
    <t>Thursday</t>
  </si>
  <si>
    <t>T</t>
  </si>
  <si>
    <t>TH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</si>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</sst>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>
    <font>
      <sz val="11"/>
      <color rgb="FF000000"/>
      <name val="Calibri"/>
      <family val="2"/>
      <charset val="1"/>
    </font>
    <font>
      <i/>
      <sz val="10"/>
      <color rgb="FF808080"/>
      <name val="Arial"/>
      <family val="2"/>
      <charset val="1"/>
    </font>
    <font>
      <sz val="10"/>
      <color rgb="FF000000"/>
      <name val="Shofar"/>
    </font>
    <font>
      <b/>
      <sz val="10"/>
      <color rgb="FF000000"/>
      <name val="Shofar"/>
    </font>
    <font>
      <b/>
      <sz val="10"/>
      <color rgb="FF000000"/>
      <name val="Calibri"/>
      <family val="2"/>
      <charset val="1"/>
    </font>
    <font>
      <b/>
      <sz val="10"/>
      <color rgb="FF000000"/>
      <name val="Noto Rashi Hebrew Medium"/>
      <charset val="177"/>
    </font>
    <font>
      <b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Shofar"/>
    </font>
    <font>
      <b/>
      <sz val="10"/>
      <color rgb="FF000000"/>
      <name val="Gveret Levin AlefAlefAlef"/>
      <family val="3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Shofar"/>
    </font>
    <font>
      <sz val="10"/>
      <color rgb="FF000000"/>
      <name val="Segoe Script"/>
      <family val="4"/>
      <charset val="1"/>
    </font>
    <font>
      <sz val="11"/>
      <color rgb="FF000000"/>
      <name val="Dana Yad AlefAlefAlef Normal"/>
      <family val="3"/>
      <charset val="1"/>
    </font>
    <font>
      <b/>
      <sz val="11"/>
      <color rgb="FF000000"/>
      <name val="Gveret Levin AlefAlefAlef"/>
      <family val="3"/>
      <charset val="1"/>
    </font>
    <font>
      <b/>
      <sz val="13"/>
      <color rgb="FF000000"/>
      <name val="Keter Aram Tsova"/>
    </font>
    <font>
      <sz val="9"/>
      <color rgb="FF000000"/>
      <name val="Segoe Script"/>
      <family val="4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5CE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Border="0" applyProtection="0"/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4" borderId="0" xfId="0" applyFont="1" applyFill="1" applyAlignment="1">
      <alignment readingOrder="2"/>
    </xf>
    <xf numFmtId="0" fontId="5" fillId="4" borderId="0" xfId="0" applyFont="1" applyFill="1" applyAlignment="1">
      <alignment readingOrder="2"/>
    </xf>
    <xf numFmtId="0" fontId="5" fillId="4" borderId="0" xfId="0" applyFont="1" applyFill="1">
      <alignment vertical="center"/>
    </xf>
    <xf numFmtId="0" fontId="7" fillId="4" borderId="0" xfId="0" applyFont="1" applyFill="1" applyAlignment="1">
      <alignment readingOrder="2"/>
    </xf>
    <xf numFmtId="164" fontId="8" fillId="4" borderId="0" xfId="1" applyNumberFormat="1" applyFont="1" applyFill="1" applyBorder="1" applyAlignment="1" applyProtection="1">
      <alignment readingOrder="2"/>
    </xf>
    <xf numFmtId="164" fontId="7" fillId="4" borderId="0" xfId="0" applyNumberFormat="1" applyFont="1" applyFill="1" applyAlignment="1">
      <alignment readingOrder="2"/>
    </xf>
    <xf numFmtId="0" fontId="7" fillId="4" borderId="0" xfId="0" applyFont="1" applyFill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readingOrder="2"/>
    </xf>
    <xf numFmtId="0" fontId="3" fillId="0" borderId="0" xfId="0" applyFont="1" applyAlignment="1">
      <alignment readingOrder="2"/>
    </xf>
    <xf numFmtId="0" fontId="2" fillId="0" borderId="0" xfId="0" applyFont="1" applyAlignment="1">
      <alignment readingOrder="2"/>
    </xf>
    <xf numFmtId="164" fontId="2" fillId="0" borderId="0" xfId="0" applyNumberFormat="1" applyFont="1" applyAlignment="1">
      <alignment readingOrder="2"/>
    </xf>
    <xf numFmtId="164" fontId="3" fillId="0" borderId="0" xfId="0" applyNumberFormat="1" applyFont="1" applyAlignment="1">
      <alignment readingOrder="2"/>
    </xf>
    <xf numFmtId="0" fontId="9" fillId="0" borderId="0" xfId="0" applyFont="1" applyAlignment="1">
      <alignment readingOrder="2"/>
    </xf>
    <xf numFmtId="0" fontId="10" fillId="0" borderId="0" xfId="0" applyFont="1" applyAlignment="1">
      <alignment readingOrder="2"/>
    </xf>
    <xf numFmtId="0" fontId="11" fillId="0" borderId="0" xfId="0" applyFont="1" applyAlignment="1">
      <alignment readingOrder="2"/>
    </xf>
    <xf numFmtId="0" fontId="11" fillId="4" borderId="0" xfId="0" applyFont="1" applyFill="1" applyAlignment="1">
      <alignment readingOrder="2"/>
    </xf>
    <xf numFmtId="0" fontId="12" fillId="0" borderId="0" xfId="0" applyFont="1" applyAlignment="1">
      <alignment readingOrder="2"/>
    </xf>
    <xf numFmtId="0" fontId="13" fillId="0" borderId="0" xfId="0" applyFont="1" applyAlignment="1">
      <alignment readingOrder="2"/>
    </xf>
    <xf numFmtId="0" fontId="0" fillId="0" borderId="0" xfId="0" applyAlignment="1">
      <alignment readingOrder="2"/>
    </xf>
    <xf numFmtId="0" fontId="14" fillId="0" borderId="0" xfId="0" applyFont="1" applyAlignment="1">
      <alignment readingOrder="2"/>
    </xf>
    <xf numFmtId="0" fontId="0" fillId="4" borderId="0" xfId="0" applyFill="1" applyAlignment="1">
      <alignment readingOrder="2"/>
    </xf>
    <xf numFmtId="0" fontId="15" fillId="0" borderId="0" xfId="0" applyFont="1" applyAlignment="1">
      <alignment readingOrder="2"/>
    </xf>
    <xf numFmtId="164" fontId="0" fillId="4" borderId="0" xfId="0" applyNumberFormat="1" applyFill="1" applyAlignment="1">
      <alignment readingOrder="2"/>
    </xf>
    <xf numFmtId="0" fontId="0" fillId="4" borderId="0" xfId="0" applyFill="1">
      <alignment vertical="center"/>
    </xf>
    <xf numFmtId="0" fontId="16" fillId="0" borderId="0" xfId="0" applyFont="1" applyAlignment="1">
      <alignment readingOrder="2"/>
    </xf>
    <xf numFmtId="10" fontId="0" fillId="0" borderId="0" xfId="0" applyNumberFormat="1" applyAlignment="1">
      <alignment readingOrder="2"/>
    </xf>
    <xf numFmtId="0" fontId="17" fillId="0" borderId="0" xfId="0" applyFont="1" applyAlignment="1">
      <alignment readingOrder="1"/>
    </xf>
  </cellXfs>
  <cellStyles count="2">
    <cellStyle name="Footnote 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20" zoomScaleNormal="120" workbookViewId="0">
      <selection activeCell="F13" sqref="F13"/>
    </sheetView>
  </sheetViews>
  <sheetFormatPr defaultColWidth="9.265625" defaultRowHeight="14.25"/>
  <cols>
    <col min="1" max="1" width="10.73046875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s="1" t="s">
        <v>9</v>
      </c>
      <c r="B2" s="1">
        <v>11</v>
      </c>
      <c r="C2" s="1">
        <v>11</v>
      </c>
      <c r="D2" s="1">
        <v>14</v>
      </c>
      <c r="E2" s="1">
        <v>11</v>
      </c>
      <c r="F2" s="1">
        <v>14</v>
      </c>
      <c r="G2" s="1">
        <v>15</v>
      </c>
      <c r="H2" s="1">
        <v>30</v>
      </c>
      <c r="I2" s="1">
        <f t="shared" ref="I2:I7" si="0">SUM(B2:H2)</f>
        <v>106</v>
      </c>
      <c r="J2" s="1"/>
    </row>
    <row r="3" spans="1:10">
      <c r="A3" t="s">
        <v>10</v>
      </c>
      <c r="B3">
        <v>17.5</v>
      </c>
      <c r="C3">
        <v>13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s="2">
        <f t="shared" si="0"/>
        <v>30.5</v>
      </c>
      <c r="J3">
        <f>I3/7</f>
        <v>4.3571428571428568</v>
      </c>
    </row>
    <row r="4" spans="1:10">
      <c r="A4" t="s">
        <v>12</v>
      </c>
      <c r="B4">
        <f t="shared" ref="B4:H4" si="1">IF(B3="NA",0,B3-B2)</f>
        <v>6.5</v>
      </c>
      <c r="C4">
        <f t="shared" si="1"/>
        <v>2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0"/>
        <v>8.5</v>
      </c>
    </row>
    <row r="5" spans="1:10">
      <c r="A5" s="1" t="s">
        <v>9</v>
      </c>
      <c r="B5" s="1">
        <v>11</v>
      </c>
      <c r="C5" s="1">
        <v>11</v>
      </c>
      <c r="D5" s="1">
        <v>11</v>
      </c>
      <c r="E5" s="1">
        <v>11</v>
      </c>
      <c r="F5" s="1">
        <v>11</v>
      </c>
      <c r="G5" s="1">
        <v>15</v>
      </c>
      <c r="H5" s="1">
        <v>30</v>
      </c>
      <c r="I5" s="1">
        <f t="shared" si="0"/>
        <v>100</v>
      </c>
      <c r="J5" s="1"/>
    </row>
    <row r="6" spans="1:10">
      <c r="A6" t="s">
        <v>10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s="2">
        <f t="shared" si="0"/>
        <v>0</v>
      </c>
      <c r="J6">
        <f>I6/7</f>
        <v>0</v>
      </c>
    </row>
    <row r="7" spans="1:10">
      <c r="A7" t="s">
        <v>12</v>
      </c>
      <c r="B7">
        <f t="shared" ref="B7:H7" si="2">IF(B6="NA",0,B6-B5)</f>
        <v>0</v>
      </c>
      <c r="C7">
        <f t="shared" si="2"/>
        <v>0</v>
      </c>
      <c r="D7">
        <f t="shared" si="2"/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si="2"/>
        <v>0</v>
      </c>
      <c r="I7">
        <f t="shared" si="0"/>
        <v>0</v>
      </c>
    </row>
    <row r="8" spans="1:10">
      <c r="A8" s="1" t="s">
        <v>9</v>
      </c>
      <c r="B8" s="1">
        <v>11</v>
      </c>
      <c r="C8" s="1">
        <v>11</v>
      </c>
      <c r="D8" s="1">
        <v>11</v>
      </c>
      <c r="E8" s="1">
        <v>11</v>
      </c>
      <c r="F8" s="1">
        <v>11</v>
      </c>
      <c r="G8" s="1">
        <v>15</v>
      </c>
      <c r="H8" s="1">
        <v>30</v>
      </c>
      <c r="I8" s="1">
        <f>SUM(B11:H11)</f>
        <v>100</v>
      </c>
      <c r="J8" s="1"/>
    </row>
    <row r="9" spans="1:10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2">
        <f>SUM(B9:H9)</f>
        <v>0</v>
      </c>
      <c r="J9">
        <f>I9/7</f>
        <v>0</v>
      </c>
    </row>
    <row r="10" spans="1:10">
      <c r="A10" t="s">
        <v>12</v>
      </c>
      <c r="B10">
        <f t="shared" ref="B10:H10" si="3">IF(B11="NA",0,B11-B11)</f>
        <v>0</v>
      </c>
      <c r="C10">
        <f t="shared" si="3"/>
        <v>0</v>
      </c>
      <c r="D10">
        <f t="shared" si="3"/>
        <v>0</v>
      </c>
      <c r="E10">
        <f t="shared" si="3"/>
        <v>0</v>
      </c>
      <c r="F10">
        <f t="shared" si="3"/>
        <v>0</v>
      </c>
      <c r="G10">
        <f t="shared" si="3"/>
        <v>0</v>
      </c>
      <c r="H10">
        <f t="shared" si="3"/>
        <v>0</v>
      </c>
      <c r="I10">
        <f>SUM(B10:H10)</f>
        <v>0</v>
      </c>
    </row>
    <row r="11" spans="1:10">
      <c r="A11" s="1" t="s">
        <v>9</v>
      </c>
      <c r="B11" s="1">
        <v>11</v>
      </c>
      <c r="C11" s="1">
        <v>11</v>
      </c>
      <c r="D11" s="1">
        <v>11</v>
      </c>
      <c r="E11" s="1">
        <v>11</v>
      </c>
      <c r="F11" s="1">
        <v>11</v>
      </c>
      <c r="G11" s="1">
        <v>15</v>
      </c>
      <c r="H11" s="1">
        <v>30</v>
      </c>
      <c r="I11" s="1">
        <f>SUM(B11:H11)</f>
        <v>100</v>
      </c>
      <c r="J11" s="1"/>
    </row>
    <row r="12" spans="1:10">
      <c r="A12" t="s">
        <v>10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s="2">
        <f>SUM(B12:H12)</f>
        <v>0</v>
      </c>
      <c r="J12">
        <f>I12/7</f>
        <v>0</v>
      </c>
    </row>
    <row r="13" spans="1:10">
      <c r="A13" t="s">
        <v>12</v>
      </c>
      <c r="B13">
        <f t="shared" ref="B13:H13" si="4">IF(B12="NA",0,B12-B11)</f>
        <v>0</v>
      </c>
      <c r="C13">
        <f t="shared" si="4"/>
        <v>0</v>
      </c>
      <c r="D13">
        <f t="shared" si="4"/>
        <v>0</v>
      </c>
      <c r="E13">
        <f t="shared" si="4"/>
        <v>0</v>
      </c>
      <c r="F13">
        <f t="shared" si="4"/>
        <v>0</v>
      </c>
      <c r="G13">
        <f t="shared" si="4"/>
        <v>0</v>
      </c>
      <c r="H13">
        <f t="shared" si="4"/>
        <v>0</v>
      </c>
      <c r="I13">
        <f>SUM(B13:H13)</f>
        <v>0</v>
      </c>
    </row>
    <row r="14" spans="1:10">
      <c r="A14" s="1" t="s">
        <v>9</v>
      </c>
      <c r="B14" s="1">
        <v>11</v>
      </c>
      <c r="C14" s="1">
        <v>11</v>
      </c>
      <c r="D14" s="1">
        <v>11</v>
      </c>
      <c r="E14" s="1">
        <v>11</v>
      </c>
      <c r="F14" s="1">
        <v>11</v>
      </c>
      <c r="G14" s="1">
        <v>15</v>
      </c>
      <c r="H14" s="1">
        <v>30</v>
      </c>
      <c r="I14" s="1">
        <f>SUM(B15:H15)</f>
        <v>0</v>
      </c>
      <c r="J14" s="1"/>
    </row>
    <row r="15" spans="1:10">
      <c r="A15" t="s">
        <v>10</v>
      </c>
      <c r="B15" t="s">
        <v>11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s="2"/>
      <c r="J15">
        <f>I15/7</f>
        <v>0</v>
      </c>
    </row>
    <row r="16" spans="1:10">
      <c r="A16" t="s">
        <v>12</v>
      </c>
      <c r="B16">
        <f t="shared" ref="B16:H16" si="5">IF(B15="NA",0,B15-B15)</f>
        <v>0</v>
      </c>
      <c r="C16">
        <f t="shared" si="5"/>
        <v>0</v>
      </c>
      <c r="D16">
        <f t="shared" si="5"/>
        <v>0</v>
      </c>
      <c r="E16">
        <f t="shared" si="5"/>
        <v>0</v>
      </c>
      <c r="F16">
        <f t="shared" si="5"/>
        <v>0</v>
      </c>
      <c r="G16">
        <f t="shared" si="5"/>
        <v>0</v>
      </c>
      <c r="H16">
        <f t="shared" si="5"/>
        <v>0</v>
      </c>
      <c r="I16">
        <f>SUM(B16:H16)</f>
        <v>0</v>
      </c>
    </row>
    <row r="17" spans="1:10">
      <c r="A17" s="1" t="s">
        <v>9</v>
      </c>
      <c r="B17" s="1">
        <v>11</v>
      </c>
      <c r="C17" s="1">
        <v>11</v>
      </c>
      <c r="D17" s="1">
        <v>11</v>
      </c>
      <c r="E17" s="1">
        <v>11</v>
      </c>
      <c r="F17" s="1">
        <v>11</v>
      </c>
      <c r="G17" s="1">
        <v>15</v>
      </c>
      <c r="H17" s="1">
        <v>30</v>
      </c>
      <c r="I17" s="1">
        <f>SUM(B17:H17)</f>
        <v>100</v>
      </c>
      <c r="J17" s="1"/>
    </row>
    <row r="18" spans="1:10">
      <c r="A18" t="s">
        <v>10</v>
      </c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s="2"/>
      <c r="J18">
        <f>I111/7</f>
        <v>0</v>
      </c>
    </row>
    <row r="19" spans="1:10">
      <c r="A19" t="s">
        <v>12</v>
      </c>
      <c r="B19">
        <f t="shared" ref="B19:H19" si="6">IF(B111="NA",0,B111-B17)</f>
        <v>-11</v>
      </c>
      <c r="C19">
        <f t="shared" si="6"/>
        <v>-11</v>
      </c>
      <c r="D19">
        <f t="shared" si="6"/>
        <v>-11</v>
      </c>
      <c r="E19">
        <f t="shared" si="6"/>
        <v>-11</v>
      </c>
      <c r="F19">
        <f t="shared" si="6"/>
        <v>-11</v>
      </c>
      <c r="G19">
        <f t="shared" si="6"/>
        <v>-15</v>
      </c>
      <c r="H19">
        <f t="shared" si="6"/>
        <v>-30</v>
      </c>
      <c r="I19">
        <f>SUM(B111:H111)</f>
        <v>0</v>
      </c>
    </row>
    <row r="20" spans="1:10">
      <c r="A20" s="1" t="s">
        <v>9</v>
      </c>
      <c r="B20" s="1">
        <v>11</v>
      </c>
      <c r="C20" s="1">
        <v>11</v>
      </c>
      <c r="D20" s="1">
        <v>11</v>
      </c>
      <c r="E20" s="1">
        <v>11</v>
      </c>
      <c r="F20" s="1">
        <v>11</v>
      </c>
      <c r="G20" s="1">
        <v>15</v>
      </c>
      <c r="H20" s="1">
        <v>30</v>
      </c>
      <c r="I20" s="1">
        <f>SUM(B20:H20)</f>
        <v>100</v>
      </c>
      <c r="J20" s="1"/>
    </row>
    <row r="21" spans="1:10">
      <c r="A21" t="s">
        <v>10</v>
      </c>
      <c r="B21" t="s">
        <v>11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s="2"/>
      <c r="J21">
        <f>I21/7</f>
        <v>0</v>
      </c>
    </row>
    <row r="22" spans="1:10">
      <c r="A22" t="s">
        <v>12</v>
      </c>
      <c r="B22">
        <f t="shared" ref="B22:H22" si="7">IF(B21="NA",0,B21-B20)</f>
        <v>0</v>
      </c>
      <c r="C22">
        <f t="shared" si="7"/>
        <v>0</v>
      </c>
      <c r="D22">
        <f t="shared" si="7"/>
        <v>0</v>
      </c>
      <c r="E22">
        <f t="shared" si="7"/>
        <v>0</v>
      </c>
      <c r="F22">
        <f t="shared" si="7"/>
        <v>0</v>
      </c>
      <c r="G22">
        <f t="shared" si="7"/>
        <v>0</v>
      </c>
      <c r="H22">
        <f t="shared" si="7"/>
        <v>0</v>
      </c>
      <c r="I22">
        <f>SUM(B22:H22)</f>
        <v>0</v>
      </c>
    </row>
    <row r="23" spans="1:10">
      <c r="A23" s="1" t="s">
        <v>9</v>
      </c>
      <c r="B23" s="1">
        <v>11</v>
      </c>
      <c r="C23" s="1">
        <v>11</v>
      </c>
      <c r="D23" s="1">
        <v>11</v>
      </c>
      <c r="E23" s="1">
        <v>11</v>
      </c>
      <c r="F23" s="1">
        <v>11</v>
      </c>
      <c r="G23" s="1">
        <v>15</v>
      </c>
      <c r="H23" s="1">
        <v>30</v>
      </c>
      <c r="I23" s="1">
        <f>SUM(B23:H23)</f>
        <v>100</v>
      </c>
      <c r="J23" s="1"/>
    </row>
    <row r="24" spans="1:10">
      <c r="A24" t="s">
        <v>10</v>
      </c>
      <c r="B24" t="s">
        <v>11</v>
      </c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s="2"/>
      <c r="J24">
        <f>I24/7</f>
        <v>0</v>
      </c>
    </row>
    <row r="25" spans="1:10">
      <c r="A25" t="s">
        <v>12</v>
      </c>
      <c r="B25">
        <f t="shared" ref="B25:H25" si="8">IF(B24="NA",0,B24-B23)</f>
        <v>0</v>
      </c>
      <c r="C25">
        <f t="shared" si="8"/>
        <v>0</v>
      </c>
      <c r="D25">
        <f t="shared" si="8"/>
        <v>0</v>
      </c>
      <c r="E25">
        <f t="shared" si="8"/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>SUM(B25:H25)</f>
        <v>0</v>
      </c>
    </row>
    <row r="26" spans="1:10">
      <c r="A26" s="1" t="s">
        <v>9</v>
      </c>
      <c r="B26" s="1">
        <v>11</v>
      </c>
      <c r="C26" s="1">
        <v>11</v>
      </c>
      <c r="D26" s="1">
        <v>11</v>
      </c>
      <c r="E26" s="1">
        <v>11</v>
      </c>
      <c r="F26" s="1">
        <v>11</v>
      </c>
      <c r="G26" s="1">
        <v>15</v>
      </c>
      <c r="H26" s="1">
        <v>30</v>
      </c>
      <c r="I26" s="1">
        <f>SUM(B26:H26)</f>
        <v>100</v>
      </c>
      <c r="J26" s="1"/>
    </row>
    <row r="27" spans="1:10">
      <c r="A27" t="s">
        <v>10</v>
      </c>
      <c r="B27" t="s">
        <v>11</v>
      </c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s="2"/>
      <c r="J27">
        <f>I27/7</f>
        <v>0</v>
      </c>
    </row>
    <row r="28" spans="1:10">
      <c r="A28" t="s">
        <v>12</v>
      </c>
      <c r="B28">
        <f t="shared" ref="B28:H28" si="9">IF(B27="NA",0,B27-B26)</f>
        <v>0</v>
      </c>
      <c r="C28">
        <f t="shared" si="9"/>
        <v>0</v>
      </c>
      <c r="D28">
        <f t="shared" si="9"/>
        <v>0</v>
      </c>
      <c r="E28">
        <f t="shared" si="9"/>
        <v>0</v>
      </c>
      <c r="F28">
        <f t="shared" si="9"/>
        <v>0</v>
      </c>
      <c r="G28">
        <f t="shared" si="9"/>
        <v>0</v>
      </c>
      <c r="H28">
        <f t="shared" si="9"/>
        <v>0</v>
      </c>
      <c r="I28">
        <f>IF(I27=0,I27,I26-I27)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7"/>
  <sheetViews>
    <sheetView topLeftCell="A11" zoomScale="120" zoomScaleNormal="120" workbookViewId="0">
      <selection activeCell="B27" sqref="B27"/>
    </sheetView>
  </sheetViews>
  <sheetFormatPr defaultColWidth="11.59765625" defaultRowHeight="14.25"/>
  <cols>
    <col min="1" max="10" width="11.59765625" style="3"/>
    <col min="11" max="12" width="11.59765625" style="4"/>
    <col min="13" max="1024" width="11.59765625" style="3"/>
  </cols>
  <sheetData>
    <row r="1" spans="1:16" s="4" customFormat="1" ht="13.15">
      <c r="A1" s="4" t="s">
        <v>13</v>
      </c>
      <c r="B1" s="4" t="s">
        <v>14</v>
      </c>
      <c r="C1" s="4" t="s">
        <v>15</v>
      </c>
      <c r="D1" s="4" t="s">
        <v>16</v>
      </c>
      <c r="F1" s="5"/>
      <c r="G1" s="5"/>
      <c r="H1" s="5"/>
      <c r="I1" s="6" t="s">
        <v>17</v>
      </c>
      <c r="J1" s="6" t="s">
        <v>18</v>
      </c>
      <c r="K1" s="6" t="s">
        <v>19</v>
      </c>
      <c r="L1" s="7" t="s">
        <v>15</v>
      </c>
      <c r="M1" s="4" t="s">
        <v>13</v>
      </c>
      <c r="N1" s="4" t="s">
        <v>14</v>
      </c>
      <c r="O1" s="4" t="s">
        <v>20</v>
      </c>
      <c r="P1" s="4" t="s">
        <v>16</v>
      </c>
    </row>
    <row r="2" spans="1:16">
      <c r="F2" s="8">
        <f>I2/365</f>
        <v>2.2890410958904108</v>
      </c>
      <c r="G2" s="8">
        <f>I2/30</f>
        <v>27.85</v>
      </c>
      <c r="H2" s="8">
        <f>I2/7</f>
        <v>119.35714285714286</v>
      </c>
      <c r="I2" s="9">
        <f>A47/J2</f>
        <v>835.5</v>
      </c>
      <c r="J2" s="8">
        <v>2</v>
      </c>
      <c r="K2" s="5"/>
      <c r="L2" s="7"/>
    </row>
    <row r="3" spans="1:16">
      <c r="A3" s="3">
        <f t="shared" ref="A3:A13" si="0">IF(B3="done",0,C3-B3)</f>
        <v>0</v>
      </c>
      <c r="B3" s="3" t="s">
        <v>21</v>
      </c>
      <c r="C3" s="3">
        <v>94</v>
      </c>
      <c r="D3" s="3" t="s">
        <v>22</v>
      </c>
      <c r="F3" s="8">
        <f>IF(F2&gt;1,ROUNDDOWN(F2,),"NA")</f>
        <v>2</v>
      </c>
      <c r="G3" s="8">
        <f>IF(G2&gt;1,ROUNDDOWN(G2,),"NA")</f>
        <v>27</v>
      </c>
      <c r="H3" s="8">
        <f>IF(H2&gt;1,ROUNDDOWN(H2,),"NA")</f>
        <v>119</v>
      </c>
      <c r="I3" s="10">
        <f>ROUNDDOWN(I2,0)</f>
        <v>835</v>
      </c>
      <c r="J3" s="8"/>
      <c r="K3" s="5"/>
      <c r="L3" s="7"/>
      <c r="M3" s="3">
        <f t="shared" ref="M3:M13" si="1">IF(N3="done",0,O3-N3)</f>
        <v>0</v>
      </c>
      <c r="N3" s="3" t="s">
        <v>21</v>
      </c>
      <c r="O3" s="3">
        <v>68</v>
      </c>
      <c r="P3" s="3" t="s">
        <v>22</v>
      </c>
    </row>
    <row r="4" spans="1:16">
      <c r="A4" s="3">
        <f t="shared" si="0"/>
        <v>0</v>
      </c>
      <c r="B4" s="3" t="s">
        <v>21</v>
      </c>
      <c r="C4" s="3">
        <v>73</v>
      </c>
      <c r="D4" s="3" t="s">
        <v>23</v>
      </c>
      <c r="F4" s="8">
        <f>IF(F3="NA","NA",(F2-F3)*J2*365)</f>
        <v>210.99999999999991</v>
      </c>
      <c r="G4" s="8">
        <f>IF(G3="NA","NA",(G2-G3)*J2*30)</f>
        <v>51.000000000000085</v>
      </c>
      <c r="H4" s="8">
        <f>IF(H3="NA","NA",(H2-H3)*J2*7)</f>
        <v>5.0000000000000568</v>
      </c>
      <c r="I4" s="10">
        <f>(I2-I3)*J2</f>
        <v>1</v>
      </c>
      <c r="J4" s="8"/>
      <c r="K4" s="5"/>
      <c r="L4" s="7"/>
      <c r="M4" s="3">
        <f t="shared" si="1"/>
        <v>0</v>
      </c>
      <c r="N4" s="3" t="s">
        <v>21</v>
      </c>
      <c r="O4" s="3">
        <v>37</v>
      </c>
      <c r="P4" s="3" t="s">
        <v>23</v>
      </c>
    </row>
    <row r="5" spans="1:16">
      <c r="A5" s="3">
        <f t="shared" si="0"/>
        <v>0</v>
      </c>
      <c r="B5" s="3" t="s">
        <v>21</v>
      </c>
      <c r="C5" s="3">
        <v>77</v>
      </c>
      <c r="D5" s="3" t="s">
        <v>24</v>
      </c>
      <c r="F5" s="11">
        <f>IF(F3="NA",F2*365,(F2-F3)*365)</f>
        <v>105.49999999999996</v>
      </c>
      <c r="G5" s="11">
        <f>IF(G3="NA",G2*365,(G2-G3)*30)</f>
        <v>25.500000000000043</v>
      </c>
      <c r="H5" s="11">
        <f>IF(H3="NA",H2*365,(H2-H3)*7)</f>
        <v>2.5000000000000284</v>
      </c>
      <c r="I5" s="11"/>
      <c r="J5" s="11"/>
      <c r="K5" s="7"/>
      <c r="L5" s="7"/>
      <c r="M5" s="3">
        <f t="shared" si="1"/>
        <v>0</v>
      </c>
      <c r="N5" s="3" t="s">
        <v>21</v>
      </c>
      <c r="O5" s="3">
        <v>34</v>
      </c>
      <c r="P5" s="3" t="s">
        <v>24</v>
      </c>
    </row>
    <row r="6" spans="1:16">
      <c r="A6" s="3">
        <f t="shared" si="0"/>
        <v>0</v>
      </c>
      <c r="B6" s="3" t="s">
        <v>21</v>
      </c>
      <c r="C6" s="3">
        <v>84</v>
      </c>
      <c r="D6" s="3" t="s">
        <v>25</v>
      </c>
      <c r="F6" s="8"/>
      <c r="G6" s="8"/>
      <c r="H6" s="8"/>
      <c r="I6" s="8"/>
      <c r="J6" s="8"/>
      <c r="K6" s="5"/>
      <c r="L6" s="7"/>
      <c r="M6" s="3">
        <f t="shared" si="1"/>
        <v>0</v>
      </c>
      <c r="N6" s="3" t="s">
        <v>21</v>
      </c>
      <c r="O6" s="3">
        <v>44</v>
      </c>
      <c r="P6" s="3" t="s">
        <v>25</v>
      </c>
    </row>
    <row r="7" spans="1:16">
      <c r="A7" s="3">
        <f t="shared" si="0"/>
        <v>0</v>
      </c>
      <c r="B7" s="3" t="s">
        <v>21</v>
      </c>
      <c r="C7" s="3">
        <v>87</v>
      </c>
      <c r="D7" s="3" t="s">
        <v>26</v>
      </c>
      <c r="F7" s="8"/>
      <c r="G7" s="8"/>
      <c r="H7" s="8"/>
      <c r="I7" s="6" t="s">
        <v>17</v>
      </c>
      <c r="J7" s="6" t="s">
        <v>27</v>
      </c>
      <c r="K7" s="6" t="s">
        <v>28</v>
      </c>
      <c r="L7" s="7"/>
      <c r="M7" s="3">
        <f t="shared" si="1"/>
        <v>0</v>
      </c>
      <c r="N7" s="3" t="s">
        <v>21</v>
      </c>
      <c r="O7" s="3">
        <v>31</v>
      </c>
      <c r="P7" s="3" t="s">
        <v>26</v>
      </c>
    </row>
    <row r="8" spans="1:16">
      <c r="A8" s="3">
        <f t="shared" si="0"/>
        <v>107</v>
      </c>
      <c r="C8" s="3">
        <v>107</v>
      </c>
      <c r="D8" s="3" t="s">
        <v>29</v>
      </c>
      <c r="F8" s="10">
        <f>I8/365</f>
        <v>4.5780821917808217</v>
      </c>
      <c r="G8" s="10">
        <f>I8/30</f>
        <v>55.7</v>
      </c>
      <c r="H8" s="10">
        <f>I8/7</f>
        <v>238.71428571428572</v>
      </c>
      <c r="I8" s="10">
        <f>(A47/(((J8*6)+J10)/7))</f>
        <v>1671</v>
      </c>
      <c r="J8" s="8">
        <v>1</v>
      </c>
      <c r="K8" s="5"/>
      <c r="L8" s="7"/>
      <c r="M8" s="3">
        <f t="shared" si="1"/>
        <v>59</v>
      </c>
      <c r="O8" s="3">
        <v>59</v>
      </c>
      <c r="P8" s="3" t="s">
        <v>29</v>
      </c>
    </row>
    <row r="9" spans="1:16">
      <c r="A9" s="3">
        <f t="shared" si="0"/>
        <v>46</v>
      </c>
      <c r="C9" s="3">
        <v>46</v>
      </c>
      <c r="D9" s="3" t="s">
        <v>30</v>
      </c>
      <c r="F9" s="8">
        <f>IF(F8&gt;1,ROUNDDOWN(F8,0),"NA")</f>
        <v>4</v>
      </c>
      <c r="G9" s="8">
        <f>IF(G8&gt;1,ROUNDDOWN(G8,0),"NA")</f>
        <v>55</v>
      </c>
      <c r="H9" s="8">
        <f>IF(H8&gt;1,ROUNDDOWN(H8,0),"NA")</f>
        <v>238</v>
      </c>
      <c r="I9" s="10">
        <f>ROUNDDOWN(I8,0)</f>
        <v>1671</v>
      </c>
      <c r="J9" s="6" t="s">
        <v>31</v>
      </c>
      <c r="K9" s="5"/>
      <c r="L9" s="7"/>
      <c r="M9" s="3">
        <f t="shared" si="1"/>
        <v>26</v>
      </c>
      <c r="O9" s="3">
        <v>26</v>
      </c>
      <c r="P9" s="3" t="s">
        <v>30</v>
      </c>
    </row>
    <row r="10" spans="1:16">
      <c r="A10" s="3">
        <f t="shared" si="0"/>
        <v>59</v>
      </c>
      <c r="C10" s="3">
        <v>59</v>
      </c>
      <c r="D10" s="3" t="s">
        <v>32</v>
      </c>
      <c r="F10" s="8">
        <f>IF(F9="NA","NA",(F8-F9)*365*(((J8*6)+J10)/7))</f>
        <v>210.99999999999991</v>
      </c>
      <c r="G10" s="8">
        <f>IF(G9="NA","NA",(G8-G9)*30*(((J8*6)+J10)/7))</f>
        <v>21.000000000000085</v>
      </c>
      <c r="H10" s="8">
        <f>IF(H9="NA","NA",(H8-H9)*((J8*6)+J10))</f>
        <v>5.0000000000000568</v>
      </c>
      <c r="I10" s="10">
        <f>(I8-I9)*(((J8*6)+J10)/7)</f>
        <v>0</v>
      </c>
      <c r="J10" s="8">
        <v>1</v>
      </c>
      <c r="K10" s="5"/>
      <c r="L10" s="7"/>
      <c r="M10" s="3">
        <f t="shared" si="1"/>
        <v>33</v>
      </c>
      <c r="O10" s="3">
        <v>33</v>
      </c>
      <c r="P10" s="3" t="s">
        <v>32</v>
      </c>
    </row>
    <row r="11" spans="1:16">
      <c r="A11" s="3">
        <f t="shared" si="0"/>
        <v>49</v>
      </c>
      <c r="C11" s="3">
        <v>49</v>
      </c>
      <c r="D11" s="3" t="s">
        <v>33</v>
      </c>
      <c r="F11" s="8">
        <f>IF(F10="NA",F8*365,(F8-F9)*365)</f>
        <v>210.99999999999991</v>
      </c>
      <c r="G11" s="11">
        <f>IF(G9="NA",G8*30,(G8-G9)*30)</f>
        <v>21.000000000000085</v>
      </c>
      <c r="H11" s="11">
        <f>IF(H9="NA",H8*7,(H8-H9)*7)</f>
        <v>5.0000000000000568</v>
      </c>
      <c r="I11" s="8"/>
      <c r="J11" s="8"/>
      <c r="K11" s="5"/>
      <c r="L11" s="7"/>
      <c r="M11" s="3">
        <f t="shared" si="1"/>
        <v>28</v>
      </c>
      <c r="O11" s="3">
        <v>28</v>
      </c>
      <c r="P11" s="3" t="s">
        <v>33</v>
      </c>
    </row>
    <row r="12" spans="1:16">
      <c r="A12" s="3">
        <f t="shared" si="0"/>
        <v>42</v>
      </c>
      <c r="C12" s="3">
        <v>42</v>
      </c>
      <c r="D12" s="3" t="s">
        <v>34</v>
      </c>
      <c r="F12" s="11"/>
      <c r="G12" s="11"/>
      <c r="H12" s="11"/>
      <c r="I12" s="11"/>
      <c r="J12" s="11"/>
      <c r="K12" s="7"/>
      <c r="L12" s="7"/>
      <c r="M12" s="3">
        <f t="shared" si="1"/>
        <v>20</v>
      </c>
      <c r="O12" s="3">
        <v>20</v>
      </c>
      <c r="P12" s="3" t="s">
        <v>34</v>
      </c>
    </row>
    <row r="13" spans="1:16">
      <c r="A13" s="3">
        <f t="shared" si="0"/>
        <v>26</v>
      </c>
      <c r="C13" s="3">
        <v>26</v>
      </c>
      <c r="D13" s="3" t="s">
        <v>35</v>
      </c>
      <c r="F13" s="8"/>
      <c r="G13" s="8"/>
      <c r="H13" s="8"/>
      <c r="I13" s="6" t="s">
        <v>17</v>
      </c>
      <c r="J13" s="6" t="s">
        <v>18</v>
      </c>
      <c r="K13" s="6" t="s">
        <v>19</v>
      </c>
      <c r="L13" s="7" t="s">
        <v>20</v>
      </c>
      <c r="M13" s="3">
        <f t="shared" si="1"/>
        <v>13</v>
      </c>
      <c r="O13" s="3">
        <v>13</v>
      </c>
      <c r="P13" s="3" t="s">
        <v>35</v>
      </c>
    </row>
    <row r="14" spans="1:16">
      <c r="A14" s="3">
        <f>SUM(A3:A13)</f>
        <v>329</v>
      </c>
      <c r="B14" s="3">
        <f>C14-A14</f>
        <v>415</v>
      </c>
      <c r="C14" s="3">
        <f>SUM(C3:C13)</f>
        <v>744</v>
      </c>
      <c r="D14" s="4" t="s">
        <v>36</v>
      </c>
      <c r="F14" s="8">
        <f>I14/365</f>
        <v>2.4474885844748862</v>
      </c>
      <c r="G14" s="8">
        <f>I14/30</f>
        <v>29.777777777777779</v>
      </c>
      <c r="H14" s="8">
        <f>I14/7</f>
        <v>127.61904761904762</v>
      </c>
      <c r="I14" s="9">
        <f>M47/J14</f>
        <v>893.33333333333337</v>
      </c>
      <c r="J14" s="8">
        <v>1.5</v>
      </c>
      <c r="K14" s="5"/>
      <c r="L14" s="7"/>
      <c r="M14" s="3">
        <f>SUM(M3:M13)</f>
        <v>179</v>
      </c>
      <c r="N14" s="3">
        <f>O14-M14</f>
        <v>214</v>
      </c>
      <c r="O14" s="3">
        <f>SUM(O3:O13)</f>
        <v>393</v>
      </c>
      <c r="P14" s="4" t="s">
        <v>36</v>
      </c>
    </row>
    <row r="15" spans="1:16">
      <c r="A15" s="3">
        <f t="shared" ref="A15:A26" si="2">IF(B15="done",0,C15-B15)</f>
        <v>113</v>
      </c>
      <c r="C15" s="3">
        <v>113</v>
      </c>
      <c r="D15" s="3" t="s">
        <v>37</v>
      </c>
      <c r="F15" s="8">
        <f>IF(F14&gt;1,ROUNDDOWN(F14,),"NA")</f>
        <v>2</v>
      </c>
      <c r="G15" s="8">
        <f>IF(G14&gt;1,ROUNDDOWN(G14,),"NA")</f>
        <v>29</v>
      </c>
      <c r="H15" s="8">
        <f>IF(H14&gt;1,ROUNDDOWN(H14,),"NA")</f>
        <v>127</v>
      </c>
      <c r="I15" s="10">
        <f>ROUNDDOWN(I14,0)</f>
        <v>893</v>
      </c>
      <c r="J15" s="8"/>
      <c r="K15" s="5"/>
      <c r="L15" s="7"/>
      <c r="M15" s="3">
        <f t="shared" ref="M15:M26" si="3">IF(N15="done",0,O15-N15)</f>
        <v>92</v>
      </c>
      <c r="O15" s="3">
        <v>92</v>
      </c>
      <c r="P15" s="3" t="s">
        <v>37</v>
      </c>
    </row>
    <row r="16" spans="1:16">
      <c r="A16" s="3">
        <f t="shared" si="2"/>
        <v>71</v>
      </c>
      <c r="C16" s="3">
        <v>71</v>
      </c>
      <c r="D16" s="3" t="s">
        <v>38</v>
      </c>
      <c r="F16" s="8">
        <f>IF(F15="NA","NA",(F14-F15)*J14*365)</f>
        <v>245.00000000000017</v>
      </c>
      <c r="G16" s="8">
        <f>IF(G15="NA","NA",(G14-G15)*J14*30)</f>
        <v>35.000000000000036</v>
      </c>
      <c r="H16" s="8">
        <f>IF(H15="NA","NA",(H14-H15)*J14*7)</f>
        <v>6.5000000000000142</v>
      </c>
      <c r="I16" s="10">
        <f>(I14-I15)*J14</f>
        <v>0.50000000000005684</v>
      </c>
      <c r="J16" s="8"/>
      <c r="K16" s="5"/>
      <c r="L16" s="7"/>
      <c r="M16" s="3">
        <f t="shared" si="3"/>
        <v>65</v>
      </c>
      <c r="O16" s="3">
        <v>65</v>
      </c>
      <c r="P16" s="3" t="s">
        <v>38</v>
      </c>
    </row>
    <row r="17" spans="1:16">
      <c r="A17" s="3">
        <f t="shared" si="2"/>
        <v>86</v>
      </c>
      <c r="C17" s="3">
        <v>86</v>
      </c>
      <c r="D17" s="3" t="s">
        <v>39</v>
      </c>
      <c r="F17" s="11">
        <f>IF(F15="NA",F14*365,(F14-F15)*365)</f>
        <v>163.33333333333346</v>
      </c>
      <c r="G17" s="11">
        <f>IF(G15="NA",G14*365,(G14-G15)*30)</f>
        <v>23.333333333333357</v>
      </c>
      <c r="H17" s="11">
        <f>IF(H15="NA",H14*365,(H14-H15)*7)</f>
        <v>4.3333333333333428</v>
      </c>
      <c r="I17" s="11"/>
      <c r="J17" s="11"/>
      <c r="K17" s="7"/>
      <c r="L17" s="7"/>
      <c r="M17" s="3">
        <f t="shared" si="3"/>
        <v>71</v>
      </c>
      <c r="O17" s="3">
        <v>71</v>
      </c>
      <c r="P17" s="3" t="s">
        <v>39</v>
      </c>
    </row>
    <row r="18" spans="1:16">
      <c r="A18" s="3">
        <f t="shared" si="2"/>
        <v>63</v>
      </c>
      <c r="C18" s="3">
        <v>63</v>
      </c>
      <c r="D18" s="3" t="s">
        <v>40</v>
      </c>
      <c r="F18" s="8"/>
      <c r="G18" s="8"/>
      <c r="H18" s="8"/>
      <c r="I18" s="8"/>
      <c r="J18" s="8"/>
      <c r="K18" s="5"/>
      <c r="L18" s="7"/>
      <c r="M18" s="3">
        <f t="shared" si="3"/>
        <v>33</v>
      </c>
      <c r="O18" s="3">
        <v>33</v>
      </c>
      <c r="P18" s="3" t="s">
        <v>40</v>
      </c>
    </row>
    <row r="19" spans="1:16">
      <c r="A19" s="3">
        <f t="shared" si="2"/>
        <v>52</v>
      </c>
      <c r="C19" s="3">
        <v>52</v>
      </c>
      <c r="D19" s="3" t="s">
        <v>41</v>
      </c>
      <c r="F19" s="8"/>
      <c r="G19" s="8"/>
      <c r="H19" s="8"/>
      <c r="I19" s="6" t="s">
        <v>17</v>
      </c>
      <c r="J19" s="6" t="s">
        <v>27</v>
      </c>
      <c r="K19" s="6" t="s">
        <v>28</v>
      </c>
      <c r="L19" s="7"/>
      <c r="M19" s="3">
        <f t="shared" si="3"/>
        <v>42</v>
      </c>
      <c r="O19" s="3">
        <v>42</v>
      </c>
      <c r="P19" s="3" t="s">
        <v>41</v>
      </c>
    </row>
    <row r="20" spans="1:16">
      <c r="A20" s="3">
        <f t="shared" si="2"/>
        <v>31</v>
      </c>
      <c r="C20" s="3">
        <v>31</v>
      </c>
      <c r="D20" s="3" t="s">
        <v>42</v>
      </c>
      <c r="F20" s="10">
        <f>I20/365</f>
        <v>0.82898806893504196</v>
      </c>
      <c r="G20" s="10">
        <f>I20/30</f>
        <v>10.086021505376344</v>
      </c>
      <c r="H20" s="10">
        <f>I20/7</f>
        <v>43.225806451612904</v>
      </c>
      <c r="I20" s="10">
        <f>(M47/(((J20*6)+J22)/7))</f>
        <v>302.58064516129031</v>
      </c>
      <c r="J20" s="8">
        <v>4</v>
      </c>
      <c r="K20" s="5"/>
      <c r="L20" s="7"/>
      <c r="M20" s="3">
        <f t="shared" si="3"/>
        <v>26</v>
      </c>
      <c r="O20" s="3">
        <v>26</v>
      </c>
      <c r="P20" s="3" t="s">
        <v>42</v>
      </c>
    </row>
    <row r="21" spans="1:16">
      <c r="A21" s="3">
        <f t="shared" si="2"/>
        <v>46</v>
      </c>
      <c r="C21" s="3">
        <v>46</v>
      </c>
      <c r="D21" s="3" t="s">
        <v>43</v>
      </c>
      <c r="F21" s="8" t="str">
        <f>IF(F20&gt;1,ROUNDDOWN(F20,0),"NA")</f>
        <v>NA</v>
      </c>
      <c r="G21" s="8">
        <f>IF(G20&gt;1,ROUNDDOWN(G20,0),"NA")</f>
        <v>10</v>
      </c>
      <c r="H21" s="8">
        <f>IF(H20&gt;1,ROUNDDOWN(H20,0),"NA")</f>
        <v>43</v>
      </c>
      <c r="I21" s="10">
        <f>ROUNDDOWN(I20,0)</f>
        <v>302</v>
      </c>
      <c r="J21" s="6" t="s">
        <v>31</v>
      </c>
      <c r="K21" s="5"/>
      <c r="L21" s="7"/>
      <c r="M21" s="3">
        <f t="shared" si="3"/>
        <v>22</v>
      </c>
      <c r="O21" s="3">
        <v>22</v>
      </c>
      <c r="P21" s="3" t="s">
        <v>43</v>
      </c>
    </row>
    <row r="22" spans="1:16">
      <c r="A22" s="3">
        <f t="shared" si="2"/>
        <v>27</v>
      </c>
      <c r="C22" s="3">
        <v>27</v>
      </c>
      <c r="D22" s="3" t="s">
        <v>44</v>
      </c>
      <c r="F22" s="8" t="str">
        <f>IF(F21="NA","NA",(F20-F21)*365*(((J20*6)+J22)/7))</f>
        <v>NA</v>
      </c>
      <c r="G22" s="8">
        <f>IF(G21="NA","NA",(G20-G21)*30*(((J20*6)+J22)/7))</f>
        <v>11.42857142857142</v>
      </c>
      <c r="H22" s="8">
        <f>IF(H21="NA","NA",(H20-H21)*((J20*6)+J22))</f>
        <v>7.0000000000000213</v>
      </c>
      <c r="I22" s="10">
        <f>(I20-I21)*(((J20*6)+J22)/7)</f>
        <v>2.5714285714284983</v>
      </c>
      <c r="J22" s="8">
        <v>7</v>
      </c>
      <c r="K22" s="5"/>
      <c r="L22" s="7"/>
      <c r="M22" s="3">
        <f t="shared" si="3"/>
        <v>22</v>
      </c>
      <c r="O22" s="3">
        <v>22</v>
      </c>
      <c r="P22" s="3" t="s">
        <v>44</v>
      </c>
    </row>
    <row r="23" spans="1:16">
      <c r="A23" s="3">
        <f t="shared" si="2"/>
        <v>31</v>
      </c>
      <c r="C23" s="3">
        <v>31</v>
      </c>
      <c r="D23" s="3" t="s">
        <v>45</v>
      </c>
      <c r="F23" s="8">
        <f>IF(F22="NA",F20*365,(F20-F21)*365)</f>
        <v>302.58064516129031</v>
      </c>
      <c r="G23" s="11">
        <f>IF(G21="NA",G20*30,(G20-G21)*30)</f>
        <v>2.5806451612903203</v>
      </c>
      <c r="H23" s="11">
        <f>IF(H21="NA",H20*7,(H20-H21)*7)</f>
        <v>1.5806451612903274</v>
      </c>
      <c r="I23" s="8"/>
      <c r="J23" s="8"/>
      <c r="K23" s="5"/>
      <c r="L23" s="7"/>
      <c r="M23" s="3">
        <f t="shared" si="3"/>
        <v>26</v>
      </c>
      <c r="O23" s="3">
        <v>26</v>
      </c>
      <c r="P23" s="3" t="s">
        <v>45</v>
      </c>
    </row>
    <row r="24" spans="1:16">
      <c r="A24" s="3">
        <f t="shared" si="2"/>
        <v>41</v>
      </c>
      <c r="C24" s="3">
        <v>41</v>
      </c>
      <c r="D24" s="3" t="s">
        <v>46</v>
      </c>
      <c r="F24" s="12"/>
      <c r="G24" s="12"/>
      <c r="H24" s="12"/>
      <c r="I24" s="12"/>
      <c r="J24" s="12"/>
      <c r="K24" s="13"/>
      <c r="L24" s="13"/>
      <c r="M24" s="3">
        <f t="shared" si="3"/>
        <v>34</v>
      </c>
      <c r="O24" s="3">
        <v>34</v>
      </c>
      <c r="P24" s="3" t="s">
        <v>46</v>
      </c>
    </row>
    <row r="25" spans="1:16">
      <c r="A25" s="3">
        <f t="shared" si="2"/>
        <v>23</v>
      </c>
      <c r="C25" s="3">
        <v>23</v>
      </c>
      <c r="D25" s="3" t="s">
        <v>47</v>
      </c>
      <c r="F25" s="12"/>
      <c r="G25" s="12"/>
      <c r="H25" s="12"/>
      <c r="I25" s="12"/>
      <c r="J25" s="12"/>
      <c r="K25" s="13"/>
      <c r="L25" s="13"/>
      <c r="M25" s="3">
        <f t="shared" si="3"/>
        <v>19</v>
      </c>
      <c r="O25" s="3">
        <v>19</v>
      </c>
      <c r="P25" s="3" t="s">
        <v>47</v>
      </c>
    </row>
    <row r="26" spans="1:16">
      <c r="A26" s="3">
        <f t="shared" si="2"/>
        <v>28</v>
      </c>
      <c r="C26" s="3">
        <v>28</v>
      </c>
      <c r="D26" s="3" t="s">
        <v>48</v>
      </c>
      <c r="F26" s="12"/>
      <c r="G26" s="12"/>
      <c r="H26" s="8"/>
      <c r="I26" s="8"/>
      <c r="J26" s="8"/>
      <c r="K26" s="6" t="s">
        <v>17</v>
      </c>
      <c r="L26" s="14" t="s">
        <v>49</v>
      </c>
      <c r="M26" s="3">
        <f t="shared" si="3"/>
        <v>22</v>
      </c>
      <c r="O26" s="3">
        <v>22</v>
      </c>
      <c r="P26" s="3" t="s">
        <v>48</v>
      </c>
    </row>
    <row r="27" spans="1:16">
      <c r="A27" s="3">
        <f>SUM(A15:A26)</f>
        <v>612</v>
      </c>
      <c r="B27" s="3">
        <f>C27-A27</f>
        <v>0</v>
      </c>
      <c r="C27" s="3">
        <f>SUM(C15:C26)</f>
        <v>612</v>
      </c>
      <c r="D27" s="4" t="s">
        <v>50</v>
      </c>
      <c r="H27" s="8">
        <f>K27/365</f>
        <v>0.32694063926940636</v>
      </c>
      <c r="I27" s="8">
        <f>K27/30</f>
        <v>3.9777777777777774</v>
      </c>
      <c r="J27" s="8">
        <f>K27/7</f>
        <v>17.047619047619047</v>
      </c>
      <c r="K27" s="9">
        <f>M14/L27</f>
        <v>119.33333333333333</v>
      </c>
      <c r="L27" s="15">
        <v>1.5</v>
      </c>
      <c r="M27" s="3">
        <f>SUM(M15:M26)</f>
        <v>474</v>
      </c>
      <c r="N27" s="3">
        <f>O27-M27</f>
        <v>0</v>
      </c>
      <c r="O27" s="3">
        <f>SUM(O15:O26)</f>
        <v>474</v>
      </c>
      <c r="P27" s="4" t="s">
        <v>50</v>
      </c>
    </row>
    <row r="28" spans="1:16">
      <c r="A28" s="3">
        <f t="shared" ref="A28:A34" si="4">IF(B28="done",0,C28-B28)</f>
        <v>88</v>
      </c>
      <c r="C28" s="3">
        <v>88</v>
      </c>
      <c r="D28" s="3" t="s">
        <v>51</v>
      </c>
      <c r="H28" s="8" t="str">
        <f>IF(H27&gt;1,ROUNDDOWN(H27,),"NA")</f>
        <v>NA</v>
      </c>
      <c r="I28" s="8">
        <f>IF(I27&gt;1,ROUNDDOWN(I27,),"NA")</f>
        <v>3</v>
      </c>
      <c r="J28" s="8">
        <f>IF(J27&gt;1,ROUNDDOWN(J27,),"NA")</f>
        <v>17</v>
      </c>
      <c r="K28" s="10">
        <f>ROUNDDOWN(K27,0)</f>
        <v>119</v>
      </c>
      <c r="L28" s="15"/>
      <c r="M28" s="3">
        <f t="shared" ref="M28:M34" si="5">IF(N28="done",0,O28-N28)</f>
        <v>85</v>
      </c>
      <c r="O28" s="3">
        <v>85</v>
      </c>
      <c r="P28" s="3" t="s">
        <v>51</v>
      </c>
    </row>
    <row r="29" spans="1:16">
      <c r="A29" s="3">
        <f t="shared" si="4"/>
        <v>77</v>
      </c>
      <c r="C29" s="3">
        <v>77</v>
      </c>
      <c r="D29" s="3" t="s">
        <v>52</v>
      </c>
      <c r="H29" s="8" t="str">
        <f>IF(H28="NA","NA",(H27-H28)*L27*365)</f>
        <v>NA</v>
      </c>
      <c r="I29" s="8">
        <f>IF(I28="NA","NA",(I27-I28)*L27*30)</f>
        <v>43.999999999999986</v>
      </c>
      <c r="J29" s="8">
        <f>IF(J28="NA","NA",(J27-J28)*L27*7)</f>
        <v>0.49999999999999822</v>
      </c>
      <c r="K29" s="10">
        <f>(K27-K28)*L27</f>
        <v>0.49999999999999289</v>
      </c>
      <c r="L29" s="15"/>
      <c r="M29" s="3">
        <f t="shared" si="5"/>
        <v>72</v>
      </c>
      <c r="O29" s="3">
        <v>72</v>
      </c>
      <c r="P29" s="3" t="s">
        <v>52</v>
      </c>
    </row>
    <row r="30" spans="1:16">
      <c r="A30" s="3">
        <f t="shared" si="4"/>
        <v>42</v>
      </c>
      <c r="C30" s="3">
        <v>42</v>
      </c>
      <c r="D30" s="3" t="s">
        <v>53</v>
      </c>
      <c r="H30" s="11">
        <f>IF(H28="NA",H27*365,(H27-H28)*365)</f>
        <v>119.33333333333333</v>
      </c>
      <c r="I30" s="11">
        <f>IF(I28="NA",I27*365,(I27-I28)*30)</f>
        <v>29.333333333333321</v>
      </c>
      <c r="J30" s="11">
        <f>IF(J28="NA",J27*365,(J27-J28)*7)</f>
        <v>0.33333333333333215</v>
      </c>
      <c r="K30" s="11"/>
      <c r="M30" s="3">
        <f t="shared" si="5"/>
        <v>40</v>
      </c>
      <c r="O30" s="3">
        <v>40</v>
      </c>
      <c r="P30" s="3" t="s">
        <v>53</v>
      </c>
    </row>
    <row r="31" spans="1:16">
      <c r="A31" s="3">
        <f t="shared" si="4"/>
        <v>53</v>
      </c>
      <c r="C31" s="3">
        <v>53</v>
      </c>
      <c r="D31" s="3" t="s">
        <v>54</v>
      </c>
      <c r="M31" s="3">
        <f t="shared" si="5"/>
        <v>47</v>
      </c>
      <c r="O31" s="3">
        <v>47</v>
      </c>
      <c r="P31" s="3" t="s">
        <v>54</v>
      </c>
    </row>
    <row r="32" spans="1:16">
      <c r="A32" s="3">
        <f t="shared" si="4"/>
        <v>52</v>
      </c>
      <c r="C32" s="3">
        <v>52</v>
      </c>
      <c r="D32" s="3" t="s">
        <v>55</v>
      </c>
      <c r="M32" s="3">
        <f t="shared" si="5"/>
        <v>47</v>
      </c>
      <c r="O32" s="3">
        <v>47</v>
      </c>
      <c r="P32" s="3" t="s">
        <v>55</v>
      </c>
    </row>
    <row r="33" spans="1:16">
      <c r="A33" s="3">
        <f t="shared" si="4"/>
        <v>53</v>
      </c>
      <c r="C33" s="3">
        <v>53</v>
      </c>
      <c r="D33" s="3" t="s">
        <v>56</v>
      </c>
      <c r="M33" s="3">
        <f t="shared" si="5"/>
        <v>54</v>
      </c>
      <c r="O33" s="3">
        <v>54</v>
      </c>
      <c r="P33" s="3" t="s">
        <v>56</v>
      </c>
    </row>
    <row r="34" spans="1:16">
      <c r="A34" s="3">
        <f t="shared" si="4"/>
        <v>53</v>
      </c>
      <c r="C34" s="3">
        <v>53</v>
      </c>
      <c r="D34" s="3" t="s">
        <v>57</v>
      </c>
      <c r="H34" s="16"/>
      <c r="I34" s="16"/>
      <c r="J34" s="16"/>
      <c r="K34" s="15"/>
      <c r="L34" s="15"/>
      <c r="M34" s="3">
        <f t="shared" si="5"/>
        <v>48</v>
      </c>
      <c r="O34" s="3">
        <v>48</v>
      </c>
      <c r="P34" s="3" t="s">
        <v>57</v>
      </c>
    </row>
    <row r="35" spans="1:16">
      <c r="A35" s="3">
        <f>SUM(A28:A34)</f>
        <v>418</v>
      </c>
      <c r="B35" s="3">
        <f>C35-A35</f>
        <v>0</v>
      </c>
      <c r="C35" s="3">
        <f>SUM(C28:C34)</f>
        <v>418</v>
      </c>
      <c r="D35" s="4" t="s">
        <v>58</v>
      </c>
      <c r="H35" s="16"/>
      <c r="I35" s="16"/>
      <c r="J35" s="16"/>
      <c r="K35" s="15"/>
      <c r="L35" s="15"/>
      <c r="M35" s="3">
        <f>SUM(M28:M34)</f>
        <v>393</v>
      </c>
      <c r="N35" s="3">
        <f>O35-M35</f>
        <v>0</v>
      </c>
      <c r="O35" s="3">
        <f>SUM(O28:O34)</f>
        <v>393</v>
      </c>
      <c r="P35" s="4" t="s">
        <v>58</v>
      </c>
    </row>
    <row r="36" spans="1:16">
      <c r="A36" s="3">
        <f t="shared" ref="A36:A43" si="6">IF(B36="done",0,C36-B36)</f>
        <v>40</v>
      </c>
      <c r="C36" s="3">
        <v>40</v>
      </c>
      <c r="D36" s="3" t="s">
        <v>59</v>
      </c>
      <c r="H36" s="16"/>
      <c r="I36" s="16"/>
      <c r="J36" s="16"/>
      <c r="K36" s="15"/>
      <c r="L36" s="15"/>
      <c r="M36" s="3">
        <f t="shared" ref="M36:M43" si="7">IF(N36="done",0,O36-N36)</f>
        <v>44</v>
      </c>
      <c r="O36" s="3">
        <v>44</v>
      </c>
      <c r="P36" s="3" t="s">
        <v>59</v>
      </c>
    </row>
    <row r="37" spans="1:16">
      <c r="A37" s="3">
        <f t="shared" si="6"/>
        <v>35</v>
      </c>
      <c r="C37" s="3">
        <v>35</v>
      </c>
      <c r="D37" s="3" t="s">
        <v>60</v>
      </c>
      <c r="H37" s="16"/>
      <c r="I37" s="16"/>
      <c r="J37" s="16"/>
      <c r="K37" s="15"/>
      <c r="L37" s="15"/>
      <c r="M37" s="3">
        <f t="shared" si="7"/>
        <v>37</v>
      </c>
      <c r="O37" s="3">
        <v>37</v>
      </c>
      <c r="P37" s="3" t="s">
        <v>60</v>
      </c>
    </row>
    <row r="38" spans="1:16">
      <c r="A38" s="3">
        <f t="shared" si="6"/>
        <v>39</v>
      </c>
      <c r="C38" s="3">
        <v>39</v>
      </c>
      <c r="D38" s="3" t="s">
        <v>61</v>
      </c>
      <c r="H38" s="16"/>
      <c r="I38" s="16"/>
      <c r="J38" s="16"/>
      <c r="K38" s="15"/>
      <c r="L38" s="15"/>
      <c r="M38" s="3">
        <f t="shared" si="7"/>
        <v>34</v>
      </c>
      <c r="O38" s="3">
        <v>34</v>
      </c>
      <c r="P38" s="3" t="s">
        <v>61</v>
      </c>
    </row>
    <row r="39" spans="1:16">
      <c r="A39" s="3">
        <f t="shared" si="6"/>
        <v>75</v>
      </c>
      <c r="C39" s="3">
        <v>75</v>
      </c>
      <c r="D39" s="3" t="s">
        <v>62</v>
      </c>
      <c r="H39" s="17"/>
      <c r="I39" s="17"/>
      <c r="J39" s="17"/>
      <c r="K39" s="18"/>
      <c r="L39" s="15"/>
      <c r="M39" s="3">
        <f t="shared" si="7"/>
        <v>57</v>
      </c>
      <c r="O39" s="3">
        <v>57</v>
      </c>
      <c r="P39" s="3" t="s">
        <v>62</v>
      </c>
    </row>
    <row r="40" spans="1:16">
      <c r="A40" s="3">
        <f t="shared" si="6"/>
        <v>11</v>
      </c>
      <c r="C40" s="3">
        <v>11</v>
      </c>
      <c r="D40" s="3" t="s">
        <v>63</v>
      </c>
      <c r="H40" s="16"/>
      <c r="I40" s="16"/>
      <c r="J40" s="16"/>
      <c r="K40" s="18"/>
      <c r="L40" s="15"/>
      <c r="M40" s="3">
        <f t="shared" si="7"/>
        <v>9</v>
      </c>
      <c r="O40" s="3">
        <v>9</v>
      </c>
      <c r="P40" s="3" t="s">
        <v>63</v>
      </c>
    </row>
    <row r="41" spans="1:16">
      <c r="A41" s="3">
        <f t="shared" si="6"/>
        <v>49</v>
      </c>
      <c r="C41" s="3">
        <v>49</v>
      </c>
      <c r="D41" s="3" t="s">
        <v>64</v>
      </c>
      <c r="H41" s="16"/>
      <c r="I41" s="16"/>
      <c r="J41" s="16"/>
      <c r="K41" s="18"/>
      <c r="L41" s="15"/>
      <c r="M41" s="3">
        <f t="shared" si="7"/>
        <v>44</v>
      </c>
      <c r="O41" s="3">
        <v>44</v>
      </c>
      <c r="P41" s="3" t="s">
        <v>64</v>
      </c>
    </row>
    <row r="42" spans="1:16">
      <c r="A42" s="3">
        <f t="shared" si="6"/>
        <v>34</v>
      </c>
      <c r="C42" s="3">
        <v>34</v>
      </c>
      <c r="D42" s="3" t="s">
        <v>65</v>
      </c>
      <c r="H42" s="16"/>
      <c r="K42" s="15"/>
      <c r="L42" s="15"/>
      <c r="M42" s="3">
        <f t="shared" si="7"/>
        <v>37</v>
      </c>
      <c r="O42" s="3">
        <v>37</v>
      </c>
      <c r="P42" s="3" t="s">
        <v>65</v>
      </c>
    </row>
    <row r="43" spans="1:16">
      <c r="A43" s="3">
        <f t="shared" si="6"/>
        <v>18</v>
      </c>
      <c r="C43" s="3">
        <v>18</v>
      </c>
      <c r="D43" s="3" t="s">
        <v>66</v>
      </c>
      <c r="H43" s="16"/>
      <c r="I43" s="16"/>
      <c r="J43" s="16"/>
      <c r="K43" s="15"/>
      <c r="L43" s="15"/>
      <c r="M43" s="3">
        <f t="shared" si="7"/>
        <v>19</v>
      </c>
      <c r="O43" s="3">
        <v>19</v>
      </c>
      <c r="P43" s="3" t="s">
        <v>66</v>
      </c>
    </row>
    <row r="44" spans="1:16">
      <c r="A44" s="3">
        <f>SUM(A36:A43)</f>
        <v>301</v>
      </c>
      <c r="B44" s="3">
        <f>C44-A44</f>
        <v>0</v>
      </c>
      <c r="C44" s="3">
        <f>SUM(C36:C43)</f>
        <v>301</v>
      </c>
      <c r="D44" s="4" t="s">
        <v>67</v>
      </c>
      <c r="M44" s="3">
        <f>SUM(M36:M43)</f>
        <v>281</v>
      </c>
      <c r="N44" s="3">
        <f>O44-M44</f>
        <v>0</v>
      </c>
      <c r="O44" s="3">
        <f>SUM(O36:O43)</f>
        <v>281</v>
      </c>
      <c r="P44" s="4" t="s">
        <v>67</v>
      </c>
    </row>
    <row r="45" spans="1:16">
      <c r="A45" s="3">
        <f>IF(B45="done",0,C45-B45)</f>
        <v>11</v>
      </c>
      <c r="C45" s="3">
        <v>11</v>
      </c>
      <c r="D45" s="3" t="s">
        <v>68</v>
      </c>
      <c r="M45" s="3">
        <f>IF(N45="done",0,O45-N45)</f>
        <v>13</v>
      </c>
      <c r="O45" s="3">
        <v>13</v>
      </c>
      <c r="P45" s="3" t="s">
        <v>68</v>
      </c>
    </row>
    <row r="46" spans="1:16">
      <c r="A46" s="3">
        <f>IF(B46="done",0,C46-B46)</f>
        <v>11</v>
      </c>
      <c r="B46" s="3">
        <f>SUM(B45)</f>
        <v>0</v>
      </c>
      <c r="C46" s="3">
        <f>SUM(C45)</f>
        <v>11</v>
      </c>
      <c r="D46" s="4" t="s">
        <v>69</v>
      </c>
      <c r="M46" s="3">
        <f>IF(N46="done",0,O46-N46)</f>
        <v>13</v>
      </c>
      <c r="N46" s="3">
        <f>SUM(N45)</f>
        <v>0</v>
      </c>
      <c r="O46" s="3">
        <f>SUM(O45)</f>
        <v>13</v>
      </c>
      <c r="P46" s="4" t="s">
        <v>69</v>
      </c>
    </row>
    <row r="47" spans="1:16">
      <c r="A47" s="3">
        <f>SUM(A3:A46)/2</f>
        <v>1671</v>
      </c>
      <c r="B47" s="3">
        <f>C47-A47</f>
        <v>415</v>
      </c>
      <c r="C47" s="3">
        <f>SUM(C3:C46)/2</f>
        <v>2086</v>
      </c>
      <c r="D47" s="4" t="s">
        <v>70</v>
      </c>
      <c r="M47" s="3">
        <f>SUM(M3:M46)/2</f>
        <v>1340</v>
      </c>
      <c r="N47" s="3">
        <f>O47-M47</f>
        <v>214</v>
      </c>
      <c r="O47" s="3">
        <f>SUM(O3:O46)/2</f>
        <v>1554</v>
      </c>
      <c r="P47" s="4" t="s">
        <v>70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1"/>
  <sheetViews>
    <sheetView tabSelected="1" zoomScale="120" zoomScaleNormal="120" workbookViewId="0">
      <selection activeCell="B9" sqref="B9"/>
    </sheetView>
  </sheetViews>
  <sheetFormatPr defaultColWidth="11.59765625" defaultRowHeight="14.25"/>
  <cols>
    <col min="1" max="1" width="12.265625" style="19" customWidth="1"/>
    <col min="2" max="1024" width="11.59765625" style="19"/>
  </cols>
  <sheetData>
    <row r="1" spans="1:11" s="23" customFormat="1">
      <c r="A1" s="20" t="s">
        <v>71</v>
      </c>
      <c r="B1" s="20" t="s">
        <v>72</v>
      </c>
      <c r="C1" s="20" t="s">
        <v>73</v>
      </c>
      <c r="D1" s="20" t="s">
        <v>74</v>
      </c>
      <c r="E1" s="21"/>
      <c r="F1" s="22"/>
      <c r="G1" s="22"/>
      <c r="H1" s="22"/>
      <c r="I1" s="6" t="s">
        <v>17</v>
      </c>
      <c r="J1" s="6" t="s">
        <v>18</v>
      </c>
      <c r="K1" s="6" t="s">
        <v>19</v>
      </c>
    </row>
    <row r="2" spans="1:11" ht="16.899999999999999">
      <c r="A2" s="24">
        <f>IF(B2="done",0,C2-B2)</f>
        <v>0</v>
      </c>
      <c r="B2" s="24" t="s">
        <v>21</v>
      </c>
      <c r="C2" s="25">
        <v>62.5</v>
      </c>
      <c r="D2" s="26" t="s">
        <v>22</v>
      </c>
      <c r="E2" s="25"/>
      <c r="F2" s="27">
        <f>I2/365</f>
        <v>0.24420921544209218</v>
      </c>
      <c r="G2" s="27">
        <f>I2/30</f>
        <v>2.9712121212121212</v>
      </c>
      <c r="H2" s="27">
        <f>I2/7</f>
        <v>12.733766233766234</v>
      </c>
      <c r="I2" s="9">
        <f>A45/J2</f>
        <v>89.13636363636364</v>
      </c>
      <c r="J2" s="8">
        <v>11</v>
      </c>
      <c r="K2" s="27"/>
    </row>
    <row r="3" spans="1:11" ht="16.899999999999999">
      <c r="A3" s="24">
        <f>SUM(A2)</f>
        <v>0</v>
      </c>
      <c r="B3" s="24" t="str">
        <f>B2</f>
        <v>done</v>
      </c>
      <c r="C3" s="25">
        <f>SUM(C2)</f>
        <v>62.5</v>
      </c>
      <c r="D3" s="28" t="s">
        <v>36</v>
      </c>
      <c r="E3" s="25"/>
      <c r="F3" s="27"/>
      <c r="G3" s="27"/>
      <c r="H3" s="27"/>
      <c r="I3" s="9"/>
      <c r="J3" s="8"/>
      <c r="K3" s="27"/>
    </row>
    <row r="4" spans="1:11" ht="16.899999999999999">
      <c r="A4" s="24">
        <f t="shared" ref="A4:A14" si="0">IF(B4="done",0,C4-B4)</f>
        <v>0</v>
      </c>
      <c r="B4" s="24" t="s">
        <v>21</v>
      </c>
      <c r="C4" s="25">
        <v>156</v>
      </c>
      <c r="D4" s="26" t="s">
        <v>37</v>
      </c>
      <c r="E4" s="25"/>
      <c r="F4" s="27" t="str">
        <f>IF(F2&gt;1,ROUNDDOWN(F2,),"NA")</f>
        <v>NA</v>
      </c>
      <c r="G4" s="27">
        <f>IF(G2&gt;1,ROUNDDOWN(G2,),"NA")</f>
        <v>2</v>
      </c>
      <c r="H4" s="27">
        <f>IF(H2&gt;1,ROUNDDOWN(H2,),"NA")</f>
        <v>12</v>
      </c>
      <c r="I4" s="29">
        <f>ROUNDDOWN(I2,0)</f>
        <v>89</v>
      </c>
      <c r="J4" s="27"/>
      <c r="K4" s="27"/>
    </row>
    <row r="5" spans="1:11" ht="16.899999999999999">
      <c r="A5" s="24">
        <f t="shared" si="0"/>
        <v>0</v>
      </c>
      <c r="B5" s="24" t="s">
        <v>21</v>
      </c>
      <c r="C5" s="25">
        <v>103.5</v>
      </c>
      <c r="D5" s="26" t="s">
        <v>38</v>
      </c>
      <c r="E5" s="25"/>
      <c r="F5" s="27" t="str">
        <f>IF(F4="NA","NA",(F2-F4)*J2*365)</f>
        <v>NA</v>
      </c>
      <c r="G5" s="27">
        <f>IF(G4="NA","NA",(G2-G4)*J2*30)</f>
        <v>320.5</v>
      </c>
      <c r="H5" s="27">
        <f>IF(H4="NA","NA",(H2-H4)*J2*7)</f>
        <v>56.500000000000021</v>
      </c>
      <c r="I5" s="29">
        <f>(I2-I4)*J2</f>
        <v>1.5000000000000426</v>
      </c>
      <c r="J5" s="27"/>
      <c r="K5" s="27"/>
    </row>
    <row r="6" spans="1:11" ht="16.899999999999999">
      <c r="A6" s="24">
        <f t="shared" si="0"/>
        <v>0</v>
      </c>
      <c r="B6" s="24" t="s">
        <v>21</v>
      </c>
      <c r="C6" s="25">
        <v>120</v>
      </c>
      <c r="D6" s="26" t="s">
        <v>39</v>
      </c>
      <c r="E6" s="25"/>
      <c r="F6" s="30">
        <f>IF(F4="NA",F2*365,(F2-F4)*365)</f>
        <v>89.13636363636364</v>
      </c>
      <c r="G6" s="30">
        <f>IF(G4="NA",G2*365,(G2-G4)*30)</f>
        <v>29.136363636363637</v>
      </c>
      <c r="H6" s="30">
        <f>IF(H4="NA",H2*365,(H2-H4)*7)</f>
        <v>5.1363636363636385</v>
      </c>
      <c r="I6" s="30"/>
      <c r="J6" s="30"/>
      <c r="K6" s="30"/>
    </row>
    <row r="7" spans="1:11" ht="16.899999999999999">
      <c r="A7" s="24">
        <f t="shared" si="0"/>
        <v>0</v>
      </c>
      <c r="B7" s="24" t="s">
        <v>21</v>
      </c>
      <c r="C7" s="25">
        <v>86.5</v>
      </c>
      <c r="D7" s="26" t="s">
        <v>41</v>
      </c>
      <c r="E7" s="25"/>
      <c r="F7" s="30"/>
      <c r="G7" s="30"/>
      <c r="H7" s="30"/>
      <c r="I7" s="30"/>
      <c r="J7" s="30"/>
      <c r="K7" s="30"/>
    </row>
    <row r="8" spans="1:11" ht="16.899999999999999">
      <c r="A8" s="24">
        <f t="shared" si="0"/>
        <v>0</v>
      </c>
      <c r="B8" s="24" t="s">
        <v>21</v>
      </c>
      <c r="C8" s="25">
        <v>33.5</v>
      </c>
      <c r="D8" s="26" t="s">
        <v>75</v>
      </c>
      <c r="E8" s="25"/>
      <c r="F8" s="30"/>
      <c r="G8" s="30"/>
      <c r="H8" s="30"/>
      <c r="I8" s="30"/>
      <c r="J8" s="30"/>
      <c r="K8" s="30"/>
    </row>
    <row r="9" spans="1:11" ht="16.899999999999999">
      <c r="A9" s="24">
        <f t="shared" si="0"/>
        <v>20</v>
      </c>
      <c r="B9" s="24">
        <v>35</v>
      </c>
      <c r="C9" s="25">
        <v>55</v>
      </c>
      <c r="D9" s="26" t="s">
        <v>42</v>
      </c>
      <c r="E9" s="25"/>
      <c r="F9" s="30"/>
      <c r="G9" s="30"/>
      <c r="H9" s="30"/>
      <c r="I9" s="30"/>
      <c r="J9" s="30"/>
      <c r="K9" s="30"/>
    </row>
    <row r="10" spans="1:11" ht="16.899999999999999">
      <c r="A10" s="24">
        <f t="shared" si="0"/>
        <v>0</v>
      </c>
      <c r="B10" s="24" t="s">
        <v>21</v>
      </c>
      <c r="C10" s="25">
        <v>39</v>
      </c>
      <c r="D10" s="26" t="s">
        <v>43</v>
      </c>
      <c r="E10" s="25"/>
      <c r="F10" s="27"/>
      <c r="G10" s="27"/>
      <c r="H10" s="27"/>
      <c r="I10" s="27"/>
      <c r="J10" s="27"/>
      <c r="K10" s="27"/>
    </row>
    <row r="11" spans="1:11" ht="16.899999999999999">
      <c r="A11" s="24">
        <f t="shared" si="0"/>
        <v>0</v>
      </c>
      <c r="B11" s="24" t="s">
        <v>21</v>
      </c>
      <c r="C11" s="25">
        <v>30.5</v>
      </c>
      <c r="D11" s="26" t="s">
        <v>46</v>
      </c>
      <c r="E11" s="25"/>
      <c r="F11" s="27"/>
      <c r="G11" s="27"/>
      <c r="H11" s="27"/>
      <c r="I11" s="27"/>
      <c r="J11" s="27"/>
      <c r="K11" s="27"/>
    </row>
    <row r="12" spans="1:11" ht="16.899999999999999">
      <c r="A12" s="24">
        <f t="shared" si="0"/>
        <v>0</v>
      </c>
      <c r="B12" s="24" t="s">
        <v>21</v>
      </c>
      <c r="C12" s="25">
        <v>25.5</v>
      </c>
      <c r="D12" s="26" t="s">
        <v>48</v>
      </c>
      <c r="E12" s="25"/>
      <c r="F12" s="27"/>
      <c r="G12" s="27"/>
      <c r="H12" s="27"/>
      <c r="I12" s="27"/>
      <c r="J12" s="27"/>
      <c r="K12" s="27"/>
    </row>
    <row r="13" spans="1:11" ht="16.899999999999999">
      <c r="A13" s="24">
        <f t="shared" si="0"/>
        <v>0</v>
      </c>
      <c r="B13" s="24" t="s">
        <v>21</v>
      </c>
      <c r="C13" s="25">
        <v>27.5</v>
      </c>
      <c r="D13" s="26" t="s">
        <v>47</v>
      </c>
      <c r="E13" s="25"/>
      <c r="F13" s="27"/>
      <c r="G13" s="27"/>
      <c r="H13" s="27"/>
      <c r="I13" s="27"/>
      <c r="J13" s="27"/>
      <c r="K13" s="27"/>
    </row>
    <row r="14" spans="1:11" ht="16.899999999999999">
      <c r="A14" s="24">
        <f t="shared" si="0"/>
        <v>0</v>
      </c>
      <c r="B14" s="24" t="s">
        <v>21</v>
      </c>
      <c r="C14" s="25">
        <v>29.5</v>
      </c>
      <c r="D14" s="26" t="s">
        <v>45</v>
      </c>
      <c r="E14" s="25"/>
      <c r="F14" s="27"/>
      <c r="G14" s="27"/>
      <c r="H14" s="27"/>
      <c r="I14" s="6" t="s">
        <v>17</v>
      </c>
      <c r="J14" s="6" t="s">
        <v>27</v>
      </c>
      <c r="K14" s="6" t="s">
        <v>28</v>
      </c>
    </row>
    <row r="15" spans="1:11" ht="16.899999999999999">
      <c r="A15" s="24">
        <f>SUM(A4:A14)</f>
        <v>20</v>
      </c>
      <c r="B15" s="24">
        <f>IF(C15-A15=C15,"done",C15-A15)</f>
        <v>686.5</v>
      </c>
      <c r="C15" s="25">
        <f>SUM(C4:C14)</f>
        <v>706.5</v>
      </c>
      <c r="D15" s="28" t="s">
        <v>50</v>
      </c>
      <c r="E15" s="25"/>
      <c r="F15" s="27"/>
      <c r="G15" s="27"/>
      <c r="H15" s="27"/>
      <c r="I15" s="6"/>
      <c r="J15" s="6"/>
      <c r="K15" s="6"/>
    </row>
    <row r="16" spans="1:11" ht="16.899999999999999">
      <c r="A16" s="24">
        <f t="shared" ref="A16:A22" si="1">IF(B16="done",0,C16-B16)</f>
        <v>0</v>
      </c>
      <c r="B16" s="24" t="s">
        <v>21</v>
      </c>
      <c r="C16" s="25">
        <v>121</v>
      </c>
      <c r="D16" s="26" t="s">
        <v>51</v>
      </c>
      <c r="E16" s="25"/>
      <c r="F16" s="29">
        <f>I16/365</f>
        <v>0.22122481869460114</v>
      </c>
      <c r="G16" s="29">
        <f>I16/30</f>
        <v>2.6915686274509807</v>
      </c>
      <c r="H16" s="29">
        <f>I16/7</f>
        <v>11.535294117647059</v>
      </c>
      <c r="I16" s="29">
        <f>(A45/(((J16*6)+J18)/7))</f>
        <v>80.747058823529414</v>
      </c>
      <c r="J16" s="8">
        <v>10</v>
      </c>
      <c r="K16" s="27"/>
    </row>
    <row r="17" spans="1:11" ht="16.899999999999999">
      <c r="A17" s="24">
        <f t="shared" si="1"/>
        <v>0</v>
      </c>
      <c r="B17" s="24" t="s">
        <v>21</v>
      </c>
      <c r="C17" s="25">
        <v>111</v>
      </c>
      <c r="D17" s="26" t="s">
        <v>52</v>
      </c>
      <c r="E17" s="25"/>
      <c r="F17" s="27" t="str">
        <f>IF(F16&gt;1,ROUNDDOWN(F16,0),"NA")</f>
        <v>NA</v>
      </c>
      <c r="G17" s="27">
        <f>IF(G16&gt;1,ROUNDDOWN(G16,0),"NA")</f>
        <v>2</v>
      </c>
      <c r="H17" s="27">
        <f>IF(H16&gt;1,ROUNDDOWN(H16,0),"NA")</f>
        <v>11</v>
      </c>
      <c r="I17" s="29">
        <f>ROUNDDOWN(I16,0)</f>
        <v>80</v>
      </c>
      <c r="J17" s="6" t="s">
        <v>31</v>
      </c>
      <c r="K17" s="27"/>
    </row>
    <row r="18" spans="1:11" ht="16.899999999999999">
      <c r="A18" s="24">
        <f t="shared" si="1"/>
        <v>90</v>
      </c>
      <c r="B18" s="24"/>
      <c r="C18" s="25">
        <v>90</v>
      </c>
      <c r="D18" s="26" t="s">
        <v>53</v>
      </c>
      <c r="E18" s="25"/>
      <c r="F18" s="27" t="str">
        <f>IF(F17="NA","NA",(F16-F17)*365*(((J16*6)+J18)/7))</f>
        <v>NA</v>
      </c>
      <c r="G18" s="27">
        <f>IF(G17="NA","NA",(G16-G17)*30*(((J16*6)+J18)/7))</f>
        <v>251.92857142857153</v>
      </c>
      <c r="H18" s="27">
        <f>IF(H17="NA","NA",(H16-H17)*((J16*6)+J18))</f>
        <v>45.499999999999986</v>
      </c>
      <c r="I18" s="29">
        <f>(I16-I17)*(((J16*6)+J18)/7)</f>
        <v>9.0714285714286031</v>
      </c>
      <c r="J18" s="8">
        <v>25</v>
      </c>
      <c r="K18" s="27"/>
    </row>
    <row r="19" spans="1:11" ht="16.899999999999999">
      <c r="A19" s="24">
        <f t="shared" si="1"/>
        <v>0</v>
      </c>
      <c r="B19" s="24" t="s">
        <v>21</v>
      </c>
      <c r="C19" s="25">
        <v>65</v>
      </c>
      <c r="D19" s="26" t="s">
        <v>54</v>
      </c>
      <c r="E19" s="25"/>
      <c r="F19" s="27">
        <f>IF(F18="NA",F16*365,(F16-F17)*365)</f>
        <v>80.747058823529414</v>
      </c>
      <c r="G19" s="30">
        <f>IF(G17="NA",G16*30,(G16-G17)*30)</f>
        <v>20.747058823529422</v>
      </c>
      <c r="H19" s="30">
        <f>IF(H17="NA",H16*7,(H16-H17)*7)</f>
        <v>3.7470588235294109</v>
      </c>
      <c r="I19" s="27"/>
      <c r="J19" s="27"/>
      <c r="K19" s="27"/>
    </row>
    <row r="20" spans="1:11" ht="16.899999999999999">
      <c r="A20" s="24">
        <f t="shared" si="1"/>
        <v>0</v>
      </c>
      <c r="B20" s="24" t="s">
        <v>21</v>
      </c>
      <c r="C20" s="25">
        <v>48</v>
      </c>
      <c r="D20" s="26" t="s">
        <v>55</v>
      </c>
      <c r="E20" s="25"/>
    </row>
    <row r="21" spans="1:11" ht="16.899999999999999">
      <c r="A21" s="24">
        <f t="shared" si="1"/>
        <v>89</v>
      </c>
      <c r="B21" s="24"/>
      <c r="C21" s="25">
        <v>89</v>
      </c>
      <c r="D21" s="26" t="s">
        <v>56</v>
      </c>
      <c r="E21" s="25"/>
    </row>
    <row r="22" spans="1:11" ht="16.899999999999999">
      <c r="A22" s="24">
        <f t="shared" si="1"/>
        <v>81</v>
      </c>
      <c r="B22" s="24"/>
      <c r="C22" s="25">
        <v>81</v>
      </c>
      <c r="D22" s="26" t="s">
        <v>57</v>
      </c>
      <c r="E22" s="25"/>
    </row>
    <row r="23" spans="1:11" ht="16.899999999999999">
      <c r="A23" s="24">
        <f>SUM(A16:A22)</f>
        <v>260</v>
      </c>
      <c r="B23" s="24">
        <f>IF(C23-A23=C23,"done",C23-A23)</f>
        <v>345</v>
      </c>
      <c r="C23" s="25">
        <f>SUM(C16:C22)</f>
        <v>605</v>
      </c>
      <c r="D23" s="28" t="s">
        <v>58</v>
      </c>
      <c r="E23" s="25"/>
    </row>
    <row r="24" spans="1:11" ht="16.899999999999999">
      <c r="A24" s="24">
        <f t="shared" ref="A24:A31" si="2">IF(B24="done",0,C24-B24)</f>
        <v>118</v>
      </c>
      <c r="B24" s="24"/>
      <c r="C24" s="25">
        <v>118</v>
      </c>
      <c r="D24" s="26" t="s">
        <v>59</v>
      </c>
      <c r="E24" s="25"/>
    </row>
    <row r="25" spans="1:11" ht="16.899999999999999">
      <c r="A25" s="24">
        <f t="shared" si="2"/>
        <v>0</v>
      </c>
      <c r="B25" s="24" t="s">
        <v>21</v>
      </c>
      <c r="C25" s="25">
        <v>117.5</v>
      </c>
      <c r="D25" s="26" t="s">
        <v>60</v>
      </c>
      <c r="E25" s="25"/>
    </row>
    <row r="26" spans="1:11" ht="16.899999999999999">
      <c r="A26" s="24">
        <f t="shared" si="2"/>
        <v>175</v>
      </c>
      <c r="B26" s="24"/>
      <c r="C26" s="25">
        <v>175</v>
      </c>
      <c r="D26" s="26" t="s">
        <v>61</v>
      </c>
      <c r="E26" s="25"/>
    </row>
    <row r="27" spans="1:11" ht="16.899999999999999">
      <c r="A27" s="24">
        <f t="shared" si="2"/>
        <v>0</v>
      </c>
      <c r="B27" s="24" t="s">
        <v>21</v>
      </c>
      <c r="C27" s="25">
        <v>112</v>
      </c>
      <c r="D27" s="26" t="s">
        <v>62</v>
      </c>
      <c r="E27" s="25"/>
    </row>
    <row r="28" spans="1:11" ht="16.899999999999999">
      <c r="A28" s="24">
        <f t="shared" si="2"/>
        <v>0</v>
      </c>
      <c r="B28" s="24" t="s">
        <v>21</v>
      </c>
      <c r="C28" s="25">
        <v>23</v>
      </c>
      <c r="D28" s="26" t="s">
        <v>63</v>
      </c>
      <c r="E28" s="25"/>
    </row>
    <row r="29" spans="1:11" ht="16.899999999999999">
      <c r="A29" s="24">
        <f t="shared" si="2"/>
        <v>20</v>
      </c>
      <c r="B29" s="24">
        <v>28</v>
      </c>
      <c r="C29" s="25">
        <v>48</v>
      </c>
      <c r="D29" s="26" t="s">
        <v>64</v>
      </c>
      <c r="E29" s="25"/>
    </row>
    <row r="30" spans="1:11" ht="16.899999999999999">
      <c r="A30" s="24">
        <f t="shared" si="2"/>
        <v>0</v>
      </c>
      <c r="B30" s="24" t="s">
        <v>21</v>
      </c>
      <c r="C30" s="25">
        <v>75</v>
      </c>
      <c r="D30" s="26" t="s">
        <v>76</v>
      </c>
      <c r="E30" s="25"/>
    </row>
    <row r="31" spans="1:11" ht="16.899999999999999">
      <c r="A31" s="24">
        <f t="shared" si="2"/>
        <v>12.5</v>
      </c>
      <c r="B31" s="24"/>
      <c r="C31" s="25">
        <v>12.5</v>
      </c>
      <c r="D31" s="26" t="s">
        <v>66</v>
      </c>
      <c r="E31" s="25"/>
    </row>
    <row r="32" spans="1:11" ht="16.899999999999999">
      <c r="A32" s="24">
        <f>SUM(A24:A31)</f>
        <v>325.5</v>
      </c>
      <c r="B32" s="24">
        <f>IF(C32-A32=C32,"done",C32-A32)</f>
        <v>355.5</v>
      </c>
      <c r="C32" s="25">
        <f>SUM(C24:C31)</f>
        <v>681</v>
      </c>
      <c r="D32" s="28" t="s">
        <v>67</v>
      </c>
      <c r="E32" s="25"/>
    </row>
    <row r="33" spans="1:5" ht="16.899999999999999">
      <c r="A33" s="24">
        <f t="shared" ref="A33:A41" si="3">IF(B33="done",0,C33-B33)</f>
        <v>75.5</v>
      </c>
      <c r="B33" s="24">
        <v>43.5</v>
      </c>
      <c r="C33" s="25">
        <v>119</v>
      </c>
      <c r="D33" s="26" t="s">
        <v>77</v>
      </c>
      <c r="E33" s="25"/>
    </row>
    <row r="34" spans="1:5" ht="16.899999999999999">
      <c r="A34" s="24">
        <f t="shared" si="3"/>
        <v>108.5</v>
      </c>
      <c r="B34" s="24"/>
      <c r="C34" s="25">
        <v>108.5</v>
      </c>
      <c r="D34" s="26" t="s">
        <v>78</v>
      </c>
      <c r="E34" s="25"/>
    </row>
    <row r="35" spans="1:5" ht="16.899999999999999">
      <c r="A35" s="24">
        <f t="shared" si="3"/>
        <v>0</v>
      </c>
      <c r="B35" s="24" t="s">
        <v>21</v>
      </c>
      <c r="C35" s="25">
        <v>140.5</v>
      </c>
      <c r="D35" s="26" t="s">
        <v>79</v>
      </c>
      <c r="E35" s="25"/>
    </row>
    <row r="36" spans="1:5" ht="16.899999999999999">
      <c r="A36" s="24">
        <f t="shared" si="3"/>
        <v>0</v>
      </c>
      <c r="B36" s="24" t="s">
        <v>21</v>
      </c>
      <c r="C36" s="25">
        <v>59.5</v>
      </c>
      <c r="D36" s="26" t="s">
        <v>80</v>
      </c>
      <c r="E36" s="25"/>
    </row>
    <row r="37" spans="1:5" ht="16.899999999999999">
      <c r="A37" s="24">
        <f t="shared" si="3"/>
        <v>32.5</v>
      </c>
      <c r="B37" s="24"/>
      <c r="C37" s="25">
        <v>32.5</v>
      </c>
      <c r="D37" s="26" t="s">
        <v>81</v>
      </c>
      <c r="E37" s="25"/>
    </row>
    <row r="38" spans="1:5" ht="16.899999999999999">
      <c r="A38" s="24">
        <f t="shared" si="3"/>
        <v>32.5</v>
      </c>
      <c r="B38" s="24"/>
      <c r="C38" s="25">
        <v>32.5</v>
      </c>
      <c r="D38" s="26" t="s">
        <v>82</v>
      </c>
      <c r="E38" s="25"/>
    </row>
    <row r="39" spans="1:5" ht="16.899999999999999">
      <c r="A39" s="24">
        <f t="shared" si="3"/>
        <v>27</v>
      </c>
      <c r="B39" s="24"/>
      <c r="C39" s="25">
        <v>27</v>
      </c>
      <c r="D39" s="26" t="s">
        <v>83</v>
      </c>
      <c r="E39" s="25"/>
    </row>
    <row r="40" spans="1:5" ht="16.899999999999999">
      <c r="A40" s="24">
        <f t="shared" si="3"/>
        <v>20.5</v>
      </c>
      <c r="B40" s="24"/>
      <c r="C40" s="25">
        <v>20.5</v>
      </c>
      <c r="D40" s="26" t="s">
        <v>84</v>
      </c>
      <c r="E40" s="25"/>
    </row>
    <row r="41" spans="1:5" ht="16.899999999999999">
      <c r="A41" s="24">
        <f t="shared" si="3"/>
        <v>8.5</v>
      </c>
      <c r="B41" s="24"/>
      <c r="C41" s="25">
        <v>8.5</v>
      </c>
      <c r="D41" s="26" t="s">
        <v>85</v>
      </c>
      <c r="E41" s="25"/>
    </row>
    <row r="42" spans="1:5" ht="16.899999999999999">
      <c r="A42" s="24">
        <f>SUM(A33:A41)</f>
        <v>305</v>
      </c>
      <c r="B42" s="24">
        <f>IF(C42-A42=C42,"done",C42-A42)</f>
        <v>243.5</v>
      </c>
      <c r="C42" s="25">
        <f>SUM(C33:C41)</f>
        <v>548.5</v>
      </c>
      <c r="D42" s="28" t="s">
        <v>86</v>
      </c>
      <c r="E42" s="25"/>
    </row>
    <row r="43" spans="1:5" ht="16.899999999999999">
      <c r="A43" s="24">
        <f>IF(B43="done",0,C43-B43)</f>
        <v>70</v>
      </c>
      <c r="B43" s="24">
        <v>1.5</v>
      </c>
      <c r="C43" s="25">
        <v>71.5</v>
      </c>
      <c r="D43" s="26" t="s">
        <v>68</v>
      </c>
      <c r="E43" s="25"/>
    </row>
    <row r="44" spans="1:5" ht="16.899999999999999">
      <c r="A44" s="24">
        <f>SUM(A43)</f>
        <v>70</v>
      </c>
      <c r="B44" s="24">
        <f>IF(C44-A44=C44,"done",C44-A44)</f>
        <v>1.5</v>
      </c>
      <c r="C44" s="25">
        <f>SUM(C43)</f>
        <v>71.5</v>
      </c>
      <c r="D44" s="28" t="s">
        <v>69</v>
      </c>
      <c r="E44" s="25"/>
    </row>
    <row r="45" spans="1:5" ht="19.149999999999999">
      <c r="A45" s="24">
        <f>SUM(A2:A44)/2</f>
        <v>980.5</v>
      </c>
      <c r="B45" s="24">
        <f>C45-A45</f>
        <v>1694.5</v>
      </c>
      <c r="C45" s="25">
        <f>SUM(C2:C44)/2</f>
        <v>2675</v>
      </c>
      <c r="D45" s="31" t="s">
        <v>87</v>
      </c>
      <c r="E45" s="25"/>
    </row>
    <row r="46" spans="1:5">
      <c r="A46" s="25"/>
      <c r="B46" s="25"/>
      <c r="C46" s="25"/>
      <c r="D46" s="25"/>
      <c r="E46" s="25"/>
    </row>
    <row r="47" spans="1:5" ht="16.5">
      <c r="A47" s="33" t="s">
        <v>88</v>
      </c>
      <c r="B47" s="32">
        <f>(B45/C45)</f>
        <v>0.63345794392523369</v>
      </c>
      <c r="C47" s="25"/>
      <c r="D47" s="25"/>
      <c r="E47" s="25"/>
    </row>
    <row r="48" spans="1:5" ht="16.5">
      <c r="A48" s="33" t="s">
        <v>89</v>
      </c>
      <c r="B48" s="32">
        <f>(A45/C45)</f>
        <v>0.36654205607476636</v>
      </c>
      <c r="C48" s="25"/>
      <c r="D48" s="25"/>
      <c r="E48" s="25"/>
    </row>
    <row r="49" spans="1:5">
      <c r="A49" s="25"/>
      <c r="B49" s="25"/>
      <c r="C49" s="25"/>
      <c r="D49" s="25"/>
      <c r="E49" s="25"/>
    </row>
    <row r="50" spans="1:5">
      <c r="A50" s="25"/>
      <c r="B50" s="25"/>
      <c r="C50" s="25"/>
      <c r="D50" s="25"/>
      <c r="E50" s="25"/>
    </row>
    <row r="51" spans="1:5">
      <c r="A51" s="25"/>
      <c r="B51" s="25"/>
      <c r="C51" s="25"/>
      <c r="D51" s="25"/>
      <c r="E51" s="25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>
      <selection activeCell="E14" sqref="E14"/>
    </sheetView>
  </sheetViews>
  <sheetFormatPr defaultColWidth="12.3984375" defaultRowHeight="14.25"/>
  <sheetData>
    <row r="1" spans="1:6">
      <c r="A1" t="s">
        <v>90</v>
      </c>
      <c r="B1" t="s">
        <v>91</v>
      </c>
      <c r="C1" t="s">
        <v>92</v>
      </c>
      <c r="D1">
        <v>0</v>
      </c>
      <c r="E1">
        <v>0</v>
      </c>
      <c r="F1">
        <f t="shared" ref="F1:F35" si="0">E1-D1</f>
        <v>0</v>
      </c>
    </row>
    <row r="2" spans="1:6">
      <c r="C2" t="s">
        <v>93</v>
      </c>
      <c r="D2">
        <v>0</v>
      </c>
      <c r="E2">
        <v>0</v>
      </c>
      <c r="F2">
        <f t="shared" si="0"/>
        <v>0</v>
      </c>
    </row>
    <row r="3" spans="1:6">
      <c r="C3" t="s">
        <v>94</v>
      </c>
      <c r="D3">
        <v>0</v>
      </c>
      <c r="E3">
        <v>1.5</v>
      </c>
      <c r="F3">
        <f t="shared" si="0"/>
        <v>1.5</v>
      </c>
    </row>
    <row r="4" spans="1:6">
      <c r="C4" t="s">
        <v>95</v>
      </c>
      <c r="D4">
        <v>3</v>
      </c>
      <c r="E4">
        <v>3</v>
      </c>
      <c r="F4">
        <f t="shared" si="0"/>
        <v>0</v>
      </c>
    </row>
    <row r="5" spans="1:6">
      <c r="C5" t="s">
        <v>96</v>
      </c>
      <c r="D5">
        <v>5</v>
      </c>
      <c r="E5">
        <v>5</v>
      </c>
      <c r="F5">
        <f t="shared" si="0"/>
        <v>0</v>
      </c>
    </row>
    <row r="6" spans="1:6">
      <c r="C6" t="s">
        <v>97</v>
      </c>
      <c r="D6">
        <v>0</v>
      </c>
      <c r="E6">
        <v>0</v>
      </c>
      <c r="F6">
        <f t="shared" si="0"/>
        <v>0</v>
      </c>
    </row>
    <row r="7" spans="1:6">
      <c r="D7">
        <f>SUM(D1:D6)</f>
        <v>8</v>
      </c>
      <c r="E7">
        <f>SUM(E1:E6)</f>
        <v>9.5</v>
      </c>
      <c r="F7">
        <f t="shared" si="0"/>
        <v>1.5</v>
      </c>
    </row>
    <row r="8" spans="1:6">
      <c r="A8" t="s">
        <v>98</v>
      </c>
      <c r="C8" t="s">
        <v>92</v>
      </c>
      <c r="D8">
        <v>2</v>
      </c>
      <c r="E8">
        <v>2</v>
      </c>
      <c r="F8">
        <f t="shared" si="0"/>
        <v>0</v>
      </c>
    </row>
    <row r="9" spans="1:6">
      <c r="C9" t="s">
        <v>93</v>
      </c>
      <c r="D9">
        <v>2</v>
      </c>
      <c r="E9">
        <v>4</v>
      </c>
      <c r="F9">
        <f t="shared" si="0"/>
        <v>2</v>
      </c>
    </row>
    <row r="10" spans="1:6">
      <c r="C10" t="s">
        <v>94</v>
      </c>
      <c r="D10">
        <v>0</v>
      </c>
      <c r="E10">
        <v>0</v>
      </c>
      <c r="F10">
        <f t="shared" si="0"/>
        <v>0</v>
      </c>
    </row>
    <row r="11" spans="1:6">
      <c r="C11" t="s">
        <v>95</v>
      </c>
      <c r="D11">
        <v>2</v>
      </c>
      <c r="E11">
        <v>3</v>
      </c>
      <c r="F11">
        <f t="shared" si="0"/>
        <v>1</v>
      </c>
    </row>
    <row r="12" spans="1:6">
      <c r="C12" t="s">
        <v>96</v>
      </c>
      <c r="D12">
        <v>5</v>
      </c>
      <c r="E12">
        <v>5</v>
      </c>
      <c r="F12">
        <f t="shared" si="0"/>
        <v>0</v>
      </c>
    </row>
    <row r="13" spans="1:6">
      <c r="C13" t="s">
        <v>97</v>
      </c>
      <c r="D13">
        <v>0</v>
      </c>
      <c r="E13">
        <v>0</v>
      </c>
      <c r="F13">
        <f t="shared" si="0"/>
        <v>0</v>
      </c>
    </row>
    <row r="14" spans="1:6">
      <c r="D14">
        <f>SUM(D8:D13)</f>
        <v>11</v>
      </c>
      <c r="E14">
        <f>SUM(E8:E13)</f>
        <v>14</v>
      </c>
      <c r="F14">
        <f t="shared" si="0"/>
        <v>3</v>
      </c>
    </row>
    <row r="15" spans="1:6">
      <c r="A15" t="s">
        <v>99</v>
      </c>
      <c r="C15" t="s">
        <v>92</v>
      </c>
      <c r="D15">
        <v>2</v>
      </c>
      <c r="E15">
        <v>3</v>
      </c>
      <c r="F15">
        <f t="shared" si="0"/>
        <v>1</v>
      </c>
    </row>
    <row r="16" spans="1:6">
      <c r="C16" t="s">
        <v>93</v>
      </c>
      <c r="D16">
        <v>2</v>
      </c>
      <c r="E16">
        <v>2</v>
      </c>
      <c r="F16">
        <f t="shared" si="0"/>
        <v>0</v>
      </c>
    </row>
    <row r="17" spans="1:6">
      <c r="C17" t="s">
        <v>94</v>
      </c>
      <c r="D17">
        <v>0</v>
      </c>
      <c r="E17">
        <v>0</v>
      </c>
      <c r="F17">
        <f t="shared" si="0"/>
        <v>0</v>
      </c>
    </row>
    <row r="18" spans="1:6">
      <c r="C18" t="s">
        <v>95</v>
      </c>
      <c r="D18">
        <v>3</v>
      </c>
      <c r="E18">
        <v>0</v>
      </c>
      <c r="F18">
        <f t="shared" si="0"/>
        <v>-3</v>
      </c>
    </row>
    <row r="19" spans="1:6">
      <c r="C19" t="s">
        <v>96</v>
      </c>
      <c r="D19">
        <v>5</v>
      </c>
      <c r="E19">
        <v>0</v>
      </c>
      <c r="F19">
        <f t="shared" si="0"/>
        <v>-5</v>
      </c>
    </row>
    <row r="20" spans="1:6">
      <c r="C20" t="s">
        <v>97</v>
      </c>
      <c r="D20">
        <v>0</v>
      </c>
      <c r="E20">
        <v>0</v>
      </c>
      <c r="F20">
        <f t="shared" si="0"/>
        <v>0</v>
      </c>
    </row>
    <row r="21" spans="1:6">
      <c r="D21">
        <f>SUM(D15:D20)</f>
        <v>12</v>
      </c>
      <c r="E21">
        <f>SUM(E15:E20)</f>
        <v>5</v>
      </c>
      <c r="F21">
        <f t="shared" si="0"/>
        <v>-7</v>
      </c>
    </row>
    <row r="22" spans="1:6">
      <c r="A22" t="s">
        <v>100</v>
      </c>
      <c r="C22" t="s">
        <v>92</v>
      </c>
      <c r="D22">
        <v>2</v>
      </c>
      <c r="E22">
        <v>0</v>
      </c>
      <c r="F22">
        <f t="shared" si="0"/>
        <v>-2</v>
      </c>
    </row>
    <row r="23" spans="1:6">
      <c r="C23" t="s">
        <v>93</v>
      </c>
      <c r="D23">
        <v>2</v>
      </c>
      <c r="E23">
        <v>0</v>
      </c>
      <c r="F23">
        <f t="shared" si="0"/>
        <v>-2</v>
      </c>
    </row>
    <row r="24" spans="1:6">
      <c r="C24" t="s">
        <v>94</v>
      </c>
      <c r="D24">
        <v>0</v>
      </c>
      <c r="E24">
        <v>0</v>
      </c>
      <c r="F24">
        <f t="shared" si="0"/>
        <v>0</v>
      </c>
    </row>
    <row r="25" spans="1:6">
      <c r="C25" t="s">
        <v>95</v>
      </c>
      <c r="D25">
        <v>2</v>
      </c>
      <c r="E25">
        <v>0</v>
      </c>
      <c r="F25">
        <f t="shared" si="0"/>
        <v>-2</v>
      </c>
    </row>
    <row r="26" spans="1:6">
      <c r="C26" t="s">
        <v>96</v>
      </c>
      <c r="D26">
        <v>5</v>
      </c>
      <c r="E26">
        <v>0</v>
      </c>
      <c r="F26">
        <f t="shared" si="0"/>
        <v>-5</v>
      </c>
    </row>
    <row r="27" spans="1:6">
      <c r="C27" t="s">
        <v>97</v>
      </c>
      <c r="D27">
        <v>0</v>
      </c>
      <c r="E27">
        <v>0</v>
      </c>
      <c r="F27">
        <f t="shared" si="0"/>
        <v>0</v>
      </c>
    </row>
    <row r="28" spans="1:6">
      <c r="D28">
        <f>SUM(D22:D27)</f>
        <v>11</v>
      </c>
      <c r="E28">
        <f>SUM(E22:E27)</f>
        <v>0</v>
      </c>
      <c r="F28">
        <f t="shared" si="0"/>
        <v>-11</v>
      </c>
    </row>
    <row r="29" spans="1:6">
      <c r="A29" t="s">
        <v>101</v>
      </c>
      <c r="C29" t="s">
        <v>92</v>
      </c>
      <c r="D29">
        <v>2</v>
      </c>
      <c r="E29">
        <v>0</v>
      </c>
      <c r="F29">
        <f>E29-D29</f>
        <v>-2</v>
      </c>
    </row>
    <row r="30" spans="1:6">
      <c r="C30" t="s">
        <v>93</v>
      </c>
      <c r="D30">
        <v>2</v>
      </c>
      <c r="E30">
        <v>0</v>
      </c>
      <c r="F30">
        <f>E30-D30</f>
        <v>-2</v>
      </c>
    </row>
    <row r="31" spans="1:6">
      <c r="C31" t="s">
        <v>94</v>
      </c>
      <c r="D31">
        <v>0</v>
      </c>
      <c r="E31">
        <v>0</v>
      </c>
      <c r="F31">
        <f t="shared" si="0"/>
        <v>0</v>
      </c>
    </row>
    <row r="32" spans="1:6">
      <c r="C32" t="s">
        <v>95</v>
      </c>
      <c r="D32">
        <v>3</v>
      </c>
      <c r="E32">
        <v>0</v>
      </c>
      <c r="F32">
        <f t="shared" si="0"/>
        <v>-3</v>
      </c>
    </row>
    <row r="33" spans="1:8">
      <c r="C33" t="s">
        <v>96</v>
      </c>
      <c r="D33">
        <v>5</v>
      </c>
      <c r="E33">
        <v>0</v>
      </c>
      <c r="F33">
        <f t="shared" si="0"/>
        <v>-5</v>
      </c>
    </row>
    <row r="34" spans="1:8">
      <c r="C34" t="s">
        <v>97</v>
      </c>
      <c r="D34">
        <v>0</v>
      </c>
      <c r="E34">
        <v>0</v>
      </c>
      <c r="F34">
        <f t="shared" si="0"/>
        <v>0</v>
      </c>
    </row>
    <row r="35" spans="1:8">
      <c r="D35">
        <f>SUM(D29:D34)</f>
        <v>12</v>
      </c>
      <c r="E35">
        <f>SUM(E29:E34)</f>
        <v>0</v>
      </c>
      <c r="F35">
        <f t="shared" si="0"/>
        <v>-12</v>
      </c>
    </row>
    <row r="36" spans="1:8">
      <c r="A36" t="s">
        <v>7</v>
      </c>
      <c r="D36">
        <f>SUM(D7,D14,D21,D28,D35)</f>
        <v>54</v>
      </c>
      <c r="E36">
        <f t="shared" ref="E36:F36" si="1">SUM(E7,E14,E21,E28,E35)</f>
        <v>28.5</v>
      </c>
      <c r="F36">
        <f t="shared" si="1"/>
        <v>-25.5</v>
      </c>
      <c r="G36">
        <f>D36/5</f>
        <v>10.8</v>
      </c>
      <c r="H36">
        <f>E36/5</f>
        <v>5.7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Normal="100" workbookViewId="0">
      <selection activeCell="B2" sqref="B2"/>
    </sheetView>
  </sheetViews>
  <sheetFormatPr defaultColWidth="11.59765625" defaultRowHeight="14.25"/>
  <sheetData>
    <row r="1" spans="1:2">
      <c r="A1" t="s">
        <v>0</v>
      </c>
      <c r="B1">
        <v>6.5</v>
      </c>
    </row>
    <row r="2" spans="1:2">
      <c r="A2" t="s">
        <v>1</v>
      </c>
    </row>
    <row r="3" spans="1:2">
      <c r="A3" t="s">
        <v>102</v>
      </c>
    </row>
    <row r="4" spans="1:2">
      <c r="A4" t="s">
        <v>3</v>
      </c>
    </row>
    <row r="5" spans="1:2">
      <c r="A5" t="s">
        <v>103</v>
      </c>
    </row>
    <row r="6" spans="1:2">
      <c r="A6" t="s">
        <v>5</v>
      </c>
    </row>
    <row r="7" spans="1:2">
      <c r="A7" t="s">
        <v>104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45772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Shaul Y Khayyat</cp:lastModifiedBy>
  <cp:revision>73</cp:revision>
  <dcterms:created xsi:type="dcterms:W3CDTF">2022-06-15T12:38:00Z</dcterms:created>
  <dcterms:modified xsi:type="dcterms:W3CDTF">2025-06-11T02:23:29Z</dcterms:modified>
  <dc:language>en-US</dc:language>
</cp:coreProperties>
</file>