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<sst xmlns="http://schemas.openxmlformats.org/spreadsheetml/2006/main" count="70" uniqueCount="48">
  <si>
    <t xml:space="preserve">נשאר:</t>
  </si>
  <si>
    <t xml:space="preserve">כבר נלמד:</t>
  </si>
  <si>
    <t xml:space="preserve">דף:</t>
  </si>
  <si>
    <t xml:space="preserve">מסכת:</t>
  </si>
  <si>
    <t xml:space="preserve">ימים נשארים:</t>
  </si>
  <si>
    <t xml:space="preserve">דף ליום:</t>
  </si>
  <si>
    <t xml:space="preserve">פשוט:</t>
  </si>
  <si>
    <t xml:space="preserve">done</t>
  </si>
  <si>
    <t xml:space="preserve">ברכות</t>
  </si>
  <si>
    <t xml:space="preserve">שבת</t>
  </si>
  <si>
    <t xml:space="preserve">עירובין</t>
  </si>
  <si>
    <t xml:space="preserve">פסחים</t>
  </si>
  <si>
    <t xml:space="preserve">דף ליום פשוט:</t>
  </si>
  <si>
    <t xml:space="preserve">קשה:</t>
  </si>
  <si>
    <t xml:space="preserve">יומא</t>
  </si>
  <si>
    <t xml:space="preserve">ראש השנה</t>
  </si>
  <si>
    <t xml:space="preserve">דף ליום שבת:</t>
  </si>
  <si>
    <t xml:space="preserve">סוכה</t>
  </si>
  <si>
    <t xml:space="preserve">ביצה</t>
  </si>
  <si>
    <t xml:space="preserve">מגילה</t>
  </si>
  <si>
    <t xml:space="preserve">חגיגה</t>
  </si>
  <si>
    <t xml:space="preserve">מועד קטן</t>
  </si>
  <si>
    <t xml:space="preserve">תענית</t>
  </si>
  <si>
    <t xml:space="preserve">יבמות</t>
  </si>
  <si>
    <t xml:space="preserve">כתובות</t>
  </si>
  <si>
    <t xml:space="preserve">נדרים</t>
  </si>
  <si>
    <t xml:space="preserve">נזיר</t>
  </si>
  <si>
    <t xml:space="preserve">סוטה</t>
  </si>
  <si>
    <t xml:space="preserve">גיטין</t>
  </si>
  <si>
    <t xml:space="preserve">קידושין</t>
  </si>
  <si>
    <t xml:space="preserve">בבא קמא</t>
  </si>
  <si>
    <t xml:space="preserve">בבא מציעא</t>
  </si>
  <si>
    <t xml:space="preserve">בבא בתרא</t>
  </si>
  <si>
    <t xml:space="preserve">סנהדרין</t>
  </si>
  <si>
    <t xml:space="preserve">מכות</t>
  </si>
  <si>
    <t xml:space="preserve">שבועות</t>
  </si>
  <si>
    <t xml:space="preserve">עבודה זרה</t>
  </si>
  <si>
    <t xml:space="preserve">הוריות</t>
  </si>
  <si>
    <t xml:space="preserve">זבחים</t>
  </si>
  <si>
    <t xml:space="preserve">מנחות</t>
  </si>
  <si>
    <t xml:space="preserve">חולין</t>
  </si>
  <si>
    <t xml:space="preserve">בכורות</t>
  </si>
  <si>
    <t xml:space="preserve">ערכין</t>
  </si>
  <si>
    <t xml:space="preserve">תמורה</t>
  </si>
  <si>
    <t xml:space="preserve">כריתוות</t>
  </si>
  <si>
    <t xml:space="preserve">מעילה</t>
  </si>
  <si>
    <t xml:space="preserve">תמיד</t>
  </si>
  <si>
    <t xml:space="preserve">נדה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</si>
</sst>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80808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color rgb="FF80808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 readingOrder="2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 readingOrder="2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 readingOrder="2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 readingOrder="2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ootnote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1.60546875" defaultRowHeight="12.8" zeroHeight="false" outlineLevelRow="0" outlineLevelCol="0"/>
  <cols>
    <col collapsed="false" customWidth="false" hidden="false" outlineLevel="0" max="1024" min="1" style="1" width="11.5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I1" s="3" t="s">
        <v>4</v>
      </c>
      <c r="J1" s="3" t="s">
        <v>5</v>
      </c>
      <c r="K1" s="3" t="s">
        <v>6</v>
      </c>
    </row>
    <row r="2" customFormat="false" ht="12.8" hidden="false" customHeight="false" outlineLevel="0" collapsed="false">
      <c r="A2" s="1" t="n">
        <f aca="false">IF(B2="done",0,C2-B2)</f>
        <v>0</v>
      </c>
      <c r="B2" s="1" t="s">
        <v>7</v>
      </c>
      <c r="C2" s="1" t="n">
        <v>62.5</v>
      </c>
      <c r="D2" s="1" t="s">
        <v>8</v>
      </c>
      <c r="F2" s="1" t="n">
        <f aca="false">I2/365</f>
        <v>2.5013698630137</v>
      </c>
      <c r="G2" s="1" t="n">
        <f aca="false">I2/30</f>
        <v>30.4333333333333</v>
      </c>
      <c r="H2" s="1" t="n">
        <f aca="false">I2/7</f>
        <v>130.428571428571</v>
      </c>
      <c r="I2" s="4" t="n">
        <f aca="false">A39/J2</f>
        <v>913</v>
      </c>
      <c r="J2" s="3" t="n">
        <v>1</v>
      </c>
    </row>
    <row r="3" customFormat="false" ht="12.8" hidden="false" customHeight="false" outlineLevel="0" collapsed="false">
      <c r="A3" s="1" t="n">
        <f aca="false">IF(B3="done",0,C3-B3)</f>
        <v>0</v>
      </c>
      <c r="B3" s="1" t="s">
        <v>7</v>
      </c>
      <c r="C3" s="1" t="n">
        <v>156</v>
      </c>
      <c r="D3" s="1" t="s">
        <v>9</v>
      </c>
      <c r="F3" s="1" t="n">
        <f aca="false">IF(F2&gt;1,ROUNDDOWN(F2,),"NA")</f>
        <v>2</v>
      </c>
      <c r="G3" s="1" t="n">
        <f aca="false">IF(G2&gt;1,ROUNDDOWN(G2,),"NA")</f>
        <v>30</v>
      </c>
      <c r="H3" s="1" t="n">
        <f aca="false">IF(H2&gt;1,ROUNDDOWN(H2,),"NA")</f>
        <v>130</v>
      </c>
      <c r="I3" s="5" t="n">
        <f aca="false">ROUNDDOWN(I2,0)</f>
        <v>913</v>
      </c>
    </row>
    <row r="4" customFormat="false" ht="12.8" hidden="false" customHeight="false" outlineLevel="0" collapsed="false">
      <c r="A4" s="1" t="n">
        <f aca="false">IF(B4="done",0,C4-B4)</f>
        <v>0</v>
      </c>
      <c r="B4" s="1" t="s">
        <v>7</v>
      </c>
      <c r="C4" s="1" t="n">
        <v>103.5</v>
      </c>
      <c r="D4" s="1" t="s">
        <v>10</v>
      </c>
      <c r="F4" s="1" t="n">
        <f aca="false">IF(F3="NA","NA",(F2-F3)*J2*365)</f>
        <v>183</v>
      </c>
      <c r="G4" s="1" t="n">
        <f aca="false">IF(G3="NA","NA",(G2-G3)*J2*30)</f>
        <v>13</v>
      </c>
      <c r="H4" s="1" t="n">
        <f aca="false">IF(H3="NA","NA",(H2-H3)*J2*7)</f>
        <v>2.99999999999991</v>
      </c>
      <c r="I4" s="5" t="n">
        <f aca="false">(I2-I3)*J2</f>
        <v>0</v>
      </c>
    </row>
    <row r="5" customFormat="false" ht="12.8" hidden="false" customHeight="false" outlineLevel="0" collapsed="false">
      <c r="A5" s="1" t="n">
        <f aca="false">IF(B5="done",0,C5-B5)</f>
        <v>0</v>
      </c>
      <c r="B5" s="1" t="s">
        <v>7</v>
      </c>
      <c r="C5" s="1" t="n">
        <v>120</v>
      </c>
      <c r="D5" s="1" t="s">
        <v>11</v>
      </c>
      <c r="I5" s="3" t="s">
        <v>4</v>
      </c>
      <c r="J5" s="3" t="s">
        <v>12</v>
      </c>
      <c r="K5" s="3" t="s">
        <v>13</v>
      </c>
    </row>
    <row r="6" customFormat="false" ht="12.8" hidden="false" customHeight="false" outlineLevel="0" collapsed="false">
      <c r="A6" s="1" t="n">
        <f aca="false">IF(B6="done",0,C6-B6)</f>
        <v>0</v>
      </c>
      <c r="B6" s="1" t="s">
        <v>7</v>
      </c>
      <c r="C6" s="1" t="n">
        <v>86.5</v>
      </c>
      <c r="D6" s="1" t="s">
        <v>14</v>
      </c>
      <c r="F6" s="5" t="n">
        <f aca="false">I6/365</f>
        <v>0.00291777854375869</v>
      </c>
      <c r="G6" s="5" t="n">
        <f aca="false">I6/30</f>
        <v>0.035499638949064</v>
      </c>
      <c r="H6" s="5" t="n">
        <f aca="false">I6/7</f>
        <v>0.152141309781703</v>
      </c>
      <c r="I6" s="5" t="n">
        <f aca="false">(A39/(((J6*6)+J8)/7))</f>
        <v>1.06498916847192</v>
      </c>
      <c r="J6" s="3" t="n">
        <v>1000</v>
      </c>
    </row>
    <row r="7" customFormat="false" ht="12.8" hidden="false" customHeight="false" outlineLevel="0" collapsed="false">
      <c r="A7" s="1" t="n">
        <f aca="false">IF(B7="done",0,C7-B7)</f>
        <v>0</v>
      </c>
      <c r="B7" s="1" t="s">
        <v>7</v>
      </c>
      <c r="C7" s="1" t="n">
        <v>33.5</v>
      </c>
      <c r="D7" s="1" t="s">
        <v>15</v>
      </c>
      <c r="F7" s="1" t="str">
        <f aca="false">IF(F6&gt;1,ROUNDDOWN(F6,0),"NA")</f>
        <v>NA</v>
      </c>
      <c r="G7" s="1" t="str">
        <f aca="false">IF(G6&gt;1,ROUNDDOWN(G6,0),"NA")</f>
        <v>NA</v>
      </c>
      <c r="H7" s="1" t="str">
        <f aca="false">IF(H6&gt;1,ROUNDDOWN(H6,0),"NA")</f>
        <v>NA</v>
      </c>
      <c r="I7" s="5" t="n">
        <f aca="false">ROUNDDOWN(I6,0)</f>
        <v>1</v>
      </c>
      <c r="J7" s="3" t="s">
        <v>16</v>
      </c>
    </row>
    <row r="8" customFormat="false" ht="12.8" hidden="false" customHeight="false" outlineLevel="0" collapsed="false">
      <c r="A8" s="1" t="n">
        <f aca="false">IF(B8="done",0,C8-B8)</f>
        <v>0</v>
      </c>
      <c r="B8" s="1" t="s">
        <v>7</v>
      </c>
      <c r="C8" s="1" t="n">
        <v>55</v>
      </c>
      <c r="D8" s="1" t="s">
        <v>17</v>
      </c>
      <c r="F8" s="1" t="str">
        <f aca="false">IF(F7="NA","NA",(F6-F7)*365*(((J6*6)+J8)/7))</f>
        <v>NA</v>
      </c>
      <c r="G8" s="1" t="str">
        <f aca="false">IF(G7="NA","NA",(G6-G7)*30*(((J6*6)+J8)/7))</f>
        <v>NA</v>
      </c>
      <c r="H8" s="1" t="str">
        <f aca="false">IF(H7="NA","NA",(H6-H7)*((J6*6)+J8))</f>
        <v>NA</v>
      </c>
      <c r="I8" s="5" t="n">
        <f aca="false">(I6-I7)*(((J6*6)+J8)/7)</f>
        <v>55.7142857142857</v>
      </c>
      <c r="J8" s="3" t="n">
        <v>1</v>
      </c>
    </row>
    <row r="9" customFormat="false" ht="12.8" hidden="false" customHeight="false" outlineLevel="0" collapsed="false">
      <c r="A9" s="1" t="n">
        <f aca="false">IF(B9="done",0,C9-B9)</f>
        <v>0</v>
      </c>
      <c r="B9" s="1" t="s">
        <v>7</v>
      </c>
      <c r="C9" s="1" t="n">
        <v>39</v>
      </c>
      <c r="D9" s="1" t="s">
        <v>18</v>
      </c>
    </row>
    <row r="10" customFormat="false" ht="12.8" hidden="false" customHeight="false" outlineLevel="0" collapsed="false">
      <c r="A10" s="1" t="n">
        <f aca="false">IF(B10="done",0,C10-B10)</f>
        <v>0</v>
      </c>
      <c r="B10" s="1" t="s">
        <v>7</v>
      </c>
      <c r="C10" s="1" t="n">
        <v>30.5</v>
      </c>
      <c r="D10" s="1" t="s">
        <v>19</v>
      </c>
    </row>
    <row r="11" customFormat="false" ht="12.8" hidden="false" customHeight="false" outlineLevel="0" collapsed="false">
      <c r="A11" s="1" t="n">
        <f aca="false">IF(B11="done",0,C11-B11)</f>
        <v>0</v>
      </c>
      <c r="B11" s="1" t="s">
        <v>7</v>
      </c>
      <c r="C11" s="1" t="n">
        <v>25.5</v>
      </c>
      <c r="D11" s="1" t="s">
        <v>20</v>
      </c>
    </row>
    <row r="12" customFormat="false" ht="12.8" hidden="false" customHeight="false" outlineLevel="0" collapsed="false">
      <c r="A12" s="1" t="n">
        <f aca="false">IF(B12="done",0,C12-B12)</f>
        <v>0</v>
      </c>
      <c r="B12" s="1" t="s">
        <v>7</v>
      </c>
      <c r="C12" s="1" t="n">
        <v>27.5</v>
      </c>
      <c r="D12" s="1" t="s">
        <v>21</v>
      </c>
    </row>
    <row r="13" customFormat="false" ht="12.8" hidden="false" customHeight="false" outlineLevel="0" collapsed="false">
      <c r="A13" s="1" t="n">
        <f aca="false">IF(B13="done",0,C13-B13)</f>
        <v>0</v>
      </c>
      <c r="B13" s="1" t="s">
        <v>7</v>
      </c>
      <c r="C13" s="1" t="n">
        <v>29.5</v>
      </c>
      <c r="D13" s="1" t="s">
        <v>22</v>
      </c>
    </row>
    <row r="14" customFormat="false" ht="12.8" hidden="false" customHeight="false" outlineLevel="0" collapsed="false">
      <c r="A14" s="1" t="n">
        <f aca="false">IF(B14="done",0,C14-B14)</f>
        <v>0</v>
      </c>
      <c r="B14" s="1" t="s">
        <v>7</v>
      </c>
      <c r="C14" s="1" t="n">
        <v>121</v>
      </c>
      <c r="D14" s="1" t="s">
        <v>23</v>
      </c>
    </row>
    <row r="15" customFormat="false" ht="12.8" hidden="false" customHeight="false" outlineLevel="0" collapsed="false">
      <c r="A15" s="1" t="n">
        <f aca="false">IF(B15="done",0,C15-B15)</f>
        <v>0</v>
      </c>
      <c r="B15" s="1" t="s">
        <v>7</v>
      </c>
      <c r="C15" s="1" t="n">
        <v>111</v>
      </c>
      <c r="D15" s="1" t="s">
        <v>24</v>
      </c>
    </row>
    <row r="16" customFormat="false" ht="12.8" hidden="false" customHeight="false" outlineLevel="0" collapsed="false">
      <c r="A16" s="1" t="n">
        <f aca="false">IF(B16="done",0,C16-B16)</f>
        <v>0</v>
      </c>
      <c r="B16" s="1" t="s">
        <v>7</v>
      </c>
      <c r="C16" s="1" t="n">
        <v>90</v>
      </c>
      <c r="D16" s="1" t="s">
        <v>25</v>
      </c>
    </row>
    <row r="17" customFormat="false" ht="12.8" hidden="false" customHeight="false" outlineLevel="0" collapsed="false">
      <c r="A17" s="1" t="n">
        <f aca="false">IF(B17="done",0,C17-B17)</f>
        <v>0</v>
      </c>
      <c r="B17" s="1" t="s">
        <v>7</v>
      </c>
      <c r="C17" s="1" t="n">
        <v>65</v>
      </c>
      <c r="D17" s="1" t="s">
        <v>26</v>
      </c>
    </row>
    <row r="18" customFormat="false" ht="12.8" hidden="false" customHeight="false" outlineLevel="0" collapsed="false">
      <c r="A18" s="1" t="n">
        <f aca="false">IF(B18="done",0,C18-B18)</f>
        <v>0</v>
      </c>
      <c r="B18" s="1" t="s">
        <v>7</v>
      </c>
      <c r="C18" s="1" t="n">
        <v>48</v>
      </c>
      <c r="D18" s="1" t="s">
        <v>27</v>
      </c>
    </row>
    <row r="19" customFormat="false" ht="12.8" hidden="false" customHeight="false" outlineLevel="0" collapsed="false">
      <c r="A19" s="1" t="n">
        <f aca="false">IF(B19="done",0,C19-B19)</f>
        <v>0</v>
      </c>
      <c r="B19" s="1" t="s">
        <v>7</v>
      </c>
      <c r="C19" s="1" t="n">
        <v>89</v>
      </c>
      <c r="D19" s="1" t="s">
        <v>28</v>
      </c>
    </row>
    <row r="20" customFormat="false" ht="12.8" hidden="false" customHeight="false" outlineLevel="0" collapsed="false">
      <c r="A20" s="1" t="n">
        <f aca="false">IF(B20="done",0,C20-B20)</f>
        <v>0</v>
      </c>
      <c r="B20" s="1" t="s">
        <v>7</v>
      </c>
      <c r="C20" s="1" t="n">
        <v>81</v>
      </c>
      <c r="D20" s="1" t="s">
        <v>29</v>
      </c>
    </row>
    <row r="21" customFormat="false" ht="12.8" hidden="false" customHeight="false" outlineLevel="0" collapsed="false">
      <c r="A21" s="1" t="n">
        <f aca="false">IF(B21="done",0,C21-B21)</f>
        <v>0</v>
      </c>
      <c r="B21" s="1" t="s">
        <v>7</v>
      </c>
      <c r="C21" s="1" t="n">
        <v>118</v>
      </c>
      <c r="D21" s="1" t="s">
        <v>30</v>
      </c>
    </row>
    <row r="22" customFormat="false" ht="12.8" hidden="false" customHeight="false" outlineLevel="0" collapsed="false">
      <c r="A22" s="1" t="n">
        <f aca="false">IF(B22="done",0,C22-B22)</f>
        <v>0</v>
      </c>
      <c r="B22" s="1" t="s">
        <v>7</v>
      </c>
      <c r="C22" s="1" t="n">
        <v>117.5</v>
      </c>
      <c r="D22" s="1" t="s">
        <v>31</v>
      </c>
    </row>
    <row r="23" customFormat="false" ht="12.8" hidden="false" customHeight="false" outlineLevel="0" collapsed="false">
      <c r="A23" s="1" t="n">
        <f aca="false">IF(B23="done",0,C23-B23)</f>
        <v>73.5</v>
      </c>
      <c r="B23" s="1" t="n">
        <v>101.5</v>
      </c>
      <c r="C23" s="1" t="n">
        <v>175</v>
      </c>
      <c r="D23" s="1" t="s">
        <v>32</v>
      </c>
    </row>
    <row r="24" customFormat="false" ht="12.8" hidden="false" customHeight="false" outlineLevel="0" collapsed="false">
      <c r="A24" s="1" t="n">
        <f aca="false">IF(B24="done",0,C24-B24)</f>
        <v>112</v>
      </c>
      <c r="C24" s="1" t="n">
        <v>112</v>
      </c>
      <c r="D24" s="1" t="s">
        <v>33</v>
      </c>
    </row>
    <row r="25" customFormat="false" ht="12.8" hidden="false" customHeight="false" outlineLevel="0" collapsed="false">
      <c r="A25" s="1" t="n">
        <f aca="false">IF(B25="done",0,C25-B25)</f>
        <v>23</v>
      </c>
      <c r="C25" s="1" t="n">
        <v>23</v>
      </c>
      <c r="D25" s="1" t="s">
        <v>34</v>
      </c>
    </row>
    <row r="26" customFormat="false" ht="12.8" hidden="false" customHeight="false" outlineLevel="0" collapsed="false">
      <c r="A26" s="1" t="n">
        <f aca="false">IF(B26="done",0,C26-B26)</f>
        <v>0</v>
      </c>
      <c r="B26" s="1" t="s">
        <v>7</v>
      </c>
      <c r="C26" s="1" t="n">
        <v>48</v>
      </c>
      <c r="D26" s="1" t="s">
        <v>35</v>
      </c>
    </row>
    <row r="27" customFormat="false" ht="12.8" hidden="false" customHeight="false" outlineLevel="0" collapsed="false">
      <c r="A27" s="1" t="n">
        <f aca="false">IF(B27="done",0,C27-B27)</f>
        <v>75</v>
      </c>
      <c r="C27" s="1" t="n">
        <v>75</v>
      </c>
      <c r="D27" s="1" t="s">
        <v>36</v>
      </c>
    </row>
    <row r="28" customFormat="false" ht="12.8" hidden="false" customHeight="false" outlineLevel="0" collapsed="false">
      <c r="A28" s="1" t="n">
        <f aca="false">IF(B28="done",0,C28-B28)</f>
        <v>11.5</v>
      </c>
      <c r="B28" s="1" t="n">
        <v>1</v>
      </c>
      <c r="C28" s="1" t="n">
        <v>12.5</v>
      </c>
      <c r="D28" s="1" t="s">
        <v>37</v>
      </c>
    </row>
    <row r="29" customFormat="false" ht="12.8" hidden="false" customHeight="false" outlineLevel="0" collapsed="false">
      <c r="A29" s="1" t="n">
        <f aca="false">IF(B29="done",0,C29-B29)</f>
        <v>119</v>
      </c>
      <c r="C29" s="1" t="n">
        <v>119</v>
      </c>
      <c r="D29" s="1" t="s">
        <v>38</v>
      </c>
    </row>
    <row r="30" customFormat="false" ht="12.8" hidden="false" customHeight="false" outlineLevel="0" collapsed="false">
      <c r="A30" s="1" t="n">
        <f aca="false">IF(B30="done",0,C30-B30)</f>
        <v>108.5</v>
      </c>
      <c r="C30" s="1" t="n">
        <v>108.5</v>
      </c>
      <c r="D30" s="1" t="s">
        <v>39</v>
      </c>
    </row>
    <row r="31" customFormat="false" ht="12.8" hidden="false" customHeight="false" outlineLevel="0" collapsed="false">
      <c r="A31" s="1" t="n">
        <f aca="false">IF(B31="done",0,C31-B31)</f>
        <v>140.5</v>
      </c>
      <c r="C31" s="1" t="n">
        <v>140.5</v>
      </c>
      <c r="D31" s="1" t="s">
        <v>40</v>
      </c>
    </row>
    <row r="32" customFormat="false" ht="12.8" hidden="false" customHeight="false" outlineLevel="0" collapsed="false">
      <c r="A32" s="1" t="n">
        <f aca="false">IF(B32="done",0,C32-B32)</f>
        <v>59.5</v>
      </c>
      <c r="C32" s="1" t="n">
        <v>59.5</v>
      </c>
      <c r="D32" s="1" t="s">
        <v>41</v>
      </c>
    </row>
    <row r="33" customFormat="false" ht="12.8" hidden="false" customHeight="false" outlineLevel="0" collapsed="false">
      <c r="A33" s="1" t="n">
        <f aca="false">IF(B33="done",0,C33-B33)</f>
        <v>32.5</v>
      </c>
      <c r="C33" s="1" t="n">
        <v>32.5</v>
      </c>
      <c r="D33" s="1" t="s">
        <v>42</v>
      </c>
    </row>
    <row r="34" customFormat="false" ht="12.8" hidden="false" customHeight="false" outlineLevel="0" collapsed="false">
      <c r="A34" s="1" t="n">
        <f aca="false">IF(B34="done",0,C34-B34)</f>
        <v>32.5</v>
      </c>
      <c r="C34" s="1" t="n">
        <v>32.5</v>
      </c>
      <c r="D34" s="1" t="s">
        <v>43</v>
      </c>
    </row>
    <row r="35" customFormat="false" ht="12.8" hidden="false" customHeight="false" outlineLevel="0" collapsed="false">
      <c r="A35" s="1" t="n">
        <f aca="false">IF(B35="done",0,C35-B35)</f>
        <v>27</v>
      </c>
      <c r="C35" s="1" t="n">
        <v>27</v>
      </c>
      <c r="D35" s="1" t="s">
        <v>44</v>
      </c>
    </row>
    <row r="36" customFormat="false" ht="12.8" hidden="false" customHeight="false" outlineLevel="0" collapsed="false">
      <c r="A36" s="1" t="n">
        <f aca="false">IF(B36="done",0,C36-B36)</f>
        <v>20.5</v>
      </c>
      <c r="C36" s="1" t="n">
        <v>20.5</v>
      </c>
      <c r="D36" s="1" t="s">
        <v>45</v>
      </c>
    </row>
    <row r="37" customFormat="false" ht="12.8" hidden="false" customHeight="false" outlineLevel="0" collapsed="false">
      <c r="A37" s="1" t="n">
        <f aca="false">IF(B37="done",0,C37-B37)</f>
        <v>6.5</v>
      </c>
      <c r="B37" s="1" t="n">
        <v>2</v>
      </c>
      <c r="C37" s="1" t="n">
        <v>8.5</v>
      </c>
      <c r="D37" s="1" t="s">
        <v>46</v>
      </c>
    </row>
    <row r="38" customFormat="false" ht="12.8" hidden="false" customHeight="false" outlineLevel="0" collapsed="false">
      <c r="A38" s="1" t="n">
        <f aca="false">IF(B38="done",0,C38-B38)</f>
        <v>71.5</v>
      </c>
      <c r="C38" s="1" t="n">
        <v>71.5</v>
      </c>
      <c r="D38" s="1" t="s">
        <v>47</v>
      </c>
    </row>
    <row r="39" customFormat="false" ht="12.8" hidden="false" customHeight="false" outlineLevel="0" collapsed="false">
      <c r="A39" s="1" t="n">
        <f aca="false">SUM(A2:A38)</f>
        <v>913</v>
      </c>
      <c r="B39" s="1" t="n">
        <f aca="false">C39-A39</f>
        <v>1762</v>
      </c>
      <c r="C39" s="1" t="n">
        <f aca="false">SUM(C2:C38)</f>
        <v>2675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2022-06-26T14:15:30Z</dcterms:created>
  <dc:creator/>
  <dc:description/>
  <dc:language>en-US</dc:language>
  <cp:lastModifiedBy>שאול יואל הכהן חייט</cp:lastModifiedBy>
  <dcterms:modified xsi:type="dcterms:W3CDTF">2023-07-02T10:20:13Z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